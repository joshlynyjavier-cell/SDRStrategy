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Data" sheetId="3" state="visible" r:id="rId5"/>
    <sheet name="Funnel" sheetId="4" state="visible" r:id="rId6"/>
    <sheet name="Staffing" sheetId="5" state="visible" r:id="rId7"/>
    <sheet name="Cost_Optional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<sst xmlns="http://schemas.openxmlformats.org/spreadsheetml/2006/main" count="382" uniqueCount="246">
  <si>
    <t xml:space="preserve">Rippling New-Business Staffing Model (simplified)</t>
  </si>
  <si>
    <t xml:space="preserve">Built on the fictional case dataset: 12 months (Feb-2021 to Jan-2022) x 5 employee-size buckets.</t>
  </si>
  <si>
    <t xml:space="preserve">Purpose</t>
  </si>
  <si>
    <t xml:space="preserve">Analyze the new-business funnel by segment and size the SDR, AE and SC capacity each segment needs.</t>
  </si>
  <si>
    <t xml:space="preserve">Colors</t>
  </si>
  <si>
    <t xml:space="preserve">Blue = editable input. Black = formula. Green = link from another tab. Yellow fill = key assumption.</t>
  </si>
  <si>
    <t xml:space="preserve">Tabs</t>
  </si>
  <si>
    <t xml:space="preserve">Inputs -&gt; Data -&gt; Funnel -&gt; Staffing -&gt; Cost_Optional -&gt; Checks.</t>
  </si>
  <si>
    <t xml:space="preserve">Inputs</t>
  </si>
  <si>
    <t xml:space="preserve">Time windows, bucket-to-segment map, the 5 staffing assumptions, and the upside switch. ALL staffing assumptions are ILLUSTRATIVE, not Rippling data.</t>
  </si>
  <si>
    <t xml:space="preserve">Data</t>
  </si>
  <si>
    <t xml:space="preserve">The 60 source rows from the CSV (blue) plus three formula columns: segment, early-period flag, baseline-period flag.</t>
  </si>
  <si>
    <t xml:space="preserve">Funnel</t>
  </si>
  <si>
    <t xml:space="preserve">Funnel by segment and bucket, monthly trend, and early (Feb-Jul-21) vs baseline (Aug-Oct-21) comparison behind the three findings.</t>
  </si>
  <si>
    <t xml:space="preserve">Staffing</t>
  </si>
  <si>
    <t xml:space="preserve">Baseline demand -&gt; required FTE -&gt; recommended headcount (ROUNDUP), ratios and expected ARR. Plus the upside case (lead-to-demo recovers).</t>
  </si>
  <si>
    <t xml:space="preserve">Cost_Optional</t>
  </si>
  <si>
    <t xml:space="preserve">Appendix only: a simple illustrative cost of the recommended headcount. It is not an ROI or payback analysis.</t>
  </si>
  <si>
    <t xml:space="preserve">Checks</t>
  </si>
  <si>
    <t xml:space="preserve">Confirms the model reconciles to the source data. Every row should read TRUE.</t>
  </si>
  <si>
    <t xml:space="preserve">Staffing formulas</t>
  </si>
  <si>
    <t xml:space="preserve">SDR FTE = leads / (SDR lead capacity x utilization). AE FTE = demos / (AE demo capacity x utilization). SC FTE = demos x SC engagement rate / (SC capacity x utilization).</t>
  </si>
  <si>
    <t xml:space="preserve">Rounding</t>
  </si>
  <si>
    <t xml:space="preserve">Dedicated roles: ROUNDUP per segment. Shared SC pool (Velocity + Emerging MM + Core MM): ROUNDUP of the combined FTE. Recommended headcount therefore always covers modeled workload.</t>
  </si>
  <si>
    <t xml:space="preserve">Caveat 1</t>
  </si>
  <si>
    <t xml:space="preserve">Headcount shown is REQUIRED CAPACITY. Current headcount is not in the dataset, so this is not a hiring number. Enter current headcount on the Staffing tab to see a gap.</t>
  </si>
  <si>
    <t xml:space="preserve">Caveat 2</t>
  </si>
  <si>
    <t xml:space="preserve">Funnel rates divide counts from the same month. They are not cohort conversion rates.</t>
  </si>
  <si>
    <t xml:space="preserve">Caveat 3</t>
  </si>
  <si>
    <t xml:space="preserve">The lead-to-demo decline is a POTENTIAL top-of-funnel bottleneck. Possible causes include SDR capacity, speed-to-lead, lead quality and demo scheduling. The upside case is a sensitivity, not a forecast.</t>
  </si>
  <si>
    <t xml:space="preserve">Caveat 4</t>
  </si>
  <si>
    <t xml:space="preserve">ARR per lead is revenue yield, not ROI. The dataset has no cost data.</t>
  </si>
  <si>
    <t xml:space="preserve">Inputs (edit blue cells only)</t>
  </si>
  <si>
    <t xml:space="preserve">All staffing assumptions are ILLUSTRATIVE planning assumptions, not company data.</t>
  </si>
  <si>
    <t xml:space="preserve">1. Time windows</t>
  </si>
  <si>
    <t xml:space="preserve">Early period start</t>
  </si>
  <si>
    <t xml:space="preserve">Early period = Feb-Jul 2021 (first 6 months of data).</t>
  </si>
  <si>
    <t xml:space="preserve">Early period end</t>
  </si>
  <si>
    <t xml:space="preserve">Baseline period start</t>
  </si>
  <si>
    <t xml:space="preserve">Baseline = Aug-Oct 2021, the latest 3 months before the Nov-Dec dip.</t>
  </si>
  <si>
    <t xml:space="preserve">Baseline period end</t>
  </si>
  <si>
    <t xml:space="preserve">Nov-Dec excluded: seen once only, so it is not confirmed seasonality. Jan-22 rebounded to a record.</t>
  </si>
  <si>
    <t xml:space="preserve">2. Segment map (dataset bucket -&gt; segment)</t>
  </si>
  <si>
    <t xml:space="preserve">Employee bucket</t>
  </si>
  <si>
    <t xml:space="preserve">Segment</t>
  </si>
  <si>
    <t xml:space="preserve">Sales motion</t>
  </si>
  <si>
    <t xml:space="preserve">1-10</t>
  </si>
  <si>
    <t xml:space="preserve">Velocity (1-50)</t>
  </si>
  <si>
    <t xml:space="preserve">Velocity</t>
  </si>
  <si>
    <t xml:space="preserve">Boundaries sit where the data changes: ARR/logo jumps ~2.3x at 50, conversion halves at 100 and again at 500.</t>
  </si>
  <si>
    <t xml:space="preserve">11-50</t>
  </si>
  <si>
    <t xml:space="preserve">51-100</t>
  </si>
  <si>
    <t xml:space="preserve">Emerging MM (51-100)</t>
  </si>
  <si>
    <t xml:space="preserve">Mid-Market</t>
  </si>
  <si>
    <t xml:space="preserve">101-500</t>
  </si>
  <si>
    <t xml:space="preserve">Core MM (101-500)</t>
  </si>
  <si>
    <t xml:space="preserve">501+</t>
  </si>
  <si>
    <t xml:space="preserve">Enterprise (501+)</t>
  </si>
  <si>
    <t xml:space="preserve">Enterprise</t>
  </si>
  <si>
    <t xml:space="preserve">3. Staffing assumptions (ILLUSTRATIVE; per ramped employee per month)</t>
  </si>
  <si>
    <t xml:space="preserve">Assumption</t>
  </si>
  <si>
    <t xml:space="preserve">Why this value (illustrative)</t>
  </si>
  <si>
    <t xml:space="preserve">SDR lead capacity (high-intent leads worked / month)</t>
  </si>
  <si>
    <t xml:space="preserve">Larger accounts need more research and follow-up per lead. 200/month = ~10 new leads per working day.</t>
  </si>
  <si>
    <t xml:space="preserve">AE demo capacity (demos held / month)</t>
  </si>
  <si>
    <t xml:space="preserve">Includes follow-up on the opps each demo creates. Velocity ~2 demos/day; Enterprise demos are multi-session.</t>
  </si>
  <si>
    <t xml:space="preserve">SC engagement rate (% of demos needing an SC)</t>
  </si>
  <si>
    <t xml:space="preserve">Rises with complexity seen in the data: demo-&gt;opp falls from ~80% to ~65% and demos per logo rise from 3.7 to 7.8.</t>
  </si>
  <si>
    <t xml:space="preserve">SC engagement capacity (SC-supported demos / month)</t>
  </si>
  <si>
    <t xml:space="preserve">Enterprise engagements are deeper (discovery, custom demo, security review).</t>
  </si>
  <si>
    <t xml:space="preserve">Target utilization</t>
  </si>
  <si>
    <t xml:space="preserve">15% buffer for PTO, training, admin and demand spikes.</t>
  </si>
  <si>
    <t xml:space="preserve">4. Upside sensitivity</t>
  </si>
  <si>
    <t xml:space="preserve">Lead-to-demo recovers to early-period level? (1 = yes)</t>
  </si>
  <si>
    <t xml:space="preserve">Enterprise = 0: its lead-to-demo did not decline. The upside is a 'what if', not a forecast.</t>
  </si>
  <si>
    <t xml:space="preserve">5. Shared resource pool</t>
  </si>
  <si>
    <t xml:space="preserve">One shared SC pool covers Velocity, Emerging MM and Core MM. Below 100 employees each segment needs less than one SC, so the pool is sized on</t>
  </si>
  <si>
    <t xml:space="preserve">the combined FTE (ROUNDUP). Enterprise SCs are dedicated. All SDR and AE roles are dedicated per segment.</t>
  </si>
  <si>
    <t xml:space="preserve">In practice, Velocity and Emerging MM SDRs could share one inbound queue, with 51-100 leads routed first.</t>
  </si>
  <si>
    <t xml:space="preserve">Month</t>
  </si>
  <si>
    <t xml:space="preserve">Leads</t>
  </si>
  <si>
    <t xml:space="preserve">Demos</t>
  </si>
  <si>
    <t xml:space="preserve">Qualified opps</t>
  </si>
  <si>
    <t xml:space="preserve">Logos</t>
  </si>
  <si>
    <t xml:space="preserve">ARR ($)</t>
  </si>
  <si>
    <t xml:space="preserve">Early (1/0)</t>
  </si>
  <si>
    <t xml:space="preserve">Baseline (1/0)</t>
  </si>
  <si>
    <t xml:space="preserve">Funnel analysis (all values are formulas on the Data tab)</t>
  </si>
  <si>
    <t xml:space="preserve">Rates = summed numerator / summed denominator. Same-month ratios, not cohort conversion.</t>
  </si>
  <si>
    <t xml:space="preserve">A. 12-month funnel by segment (Feb-21 to Jan-22)</t>
  </si>
  <si>
    <t xml:space="preserve">Qual opps</t>
  </si>
  <si>
    <t xml:space="preserve">ARR</t>
  </si>
  <si>
    <t xml:space="preserve">Lead-&gt;Demo</t>
  </si>
  <si>
    <t xml:space="preserve">Demo-&gt;Opp</t>
  </si>
  <si>
    <t xml:space="preserve">Opp-&gt;Win</t>
  </si>
  <si>
    <t xml:space="preserve">Lead-&gt;Win</t>
  </si>
  <si>
    <t xml:space="preserve">ARR / logo</t>
  </si>
  <si>
    <t xml:space="preserve">ARR / lead</t>
  </si>
  <si>
    <t xml:space="preserve">Lead share</t>
  </si>
  <si>
    <t xml:space="preserve">ARR share</t>
  </si>
  <si>
    <t xml:space="preserve">Demos / logo</t>
  </si>
  <si>
    <t xml:space="preserve">Total</t>
  </si>
  <si>
    <t xml:space="preserve">B. 12-month funnel by employee bucket (detail)</t>
  </si>
  <si>
    <t xml:space="preserve">Bucket</t>
  </si>
  <si>
    <t xml:space="preserve">C. Monthly trend (all segments)</t>
  </si>
  <si>
    <t xml:space="preserve">Demo-&gt;Win</t>
  </si>
  <si>
    <t xml:space="preserve">Leads from 101+ (share)</t>
  </si>
  <si>
    <t xml:space="preserve">Nov-Dec 2021: leads fell ~47% vs Oct and every conversion rate dipped; Jan-22 set records. With one year of data, this is not confirmed seasonality.</t>
  </si>
  <si>
    <t xml:space="preserve">D. Early period (Feb-Jul-21) vs baseline (Aug-Oct-21): average month</t>
  </si>
  <si>
    <t xml:space="preserve">Metric</t>
  </si>
  <si>
    <t xml:space="preserve">Reading</t>
  </si>
  <si>
    <t xml:space="preserve">Leads / month (early)</t>
  </si>
  <si>
    <t xml:space="preserve">Leads / month (baseline)</t>
  </si>
  <si>
    <t xml:space="preserve">  Lead growth</t>
  </si>
  <si>
    <t xml:space="preserve">Demand grew in every segment except Velocity; Enterprise grew fastest.</t>
  </si>
  <si>
    <t xml:space="preserve">ARR / month (early)</t>
  </si>
  <si>
    <t xml:space="preserve">ARR / month (baseline)</t>
  </si>
  <si>
    <t xml:space="preserve">  ARR growth</t>
  </si>
  <si>
    <t xml:space="preserve">ARR / logo (early)</t>
  </si>
  <si>
    <t xml:space="preserve">ARR / logo (baseline)</t>
  </si>
  <si>
    <t xml:space="preserve">  ARR / logo growth</t>
  </si>
  <si>
    <t xml:space="preserve">Lead-&gt;Demo (early)</t>
  </si>
  <si>
    <t xml:space="preserve">Lead-&gt;Demo (baseline)</t>
  </si>
  <si>
    <t xml:space="preserve">  Change (pts)</t>
  </si>
  <si>
    <t xml:space="preserve">Lead-&gt;Demo fell in the three segments under 500 employees. Enterprise held.</t>
  </si>
  <si>
    <t xml:space="preserve">Demo-&gt;Opp (early)</t>
  </si>
  <si>
    <t xml:space="preserve">Demo-&gt;Opp (baseline)</t>
  </si>
  <si>
    <t xml:space="preserve">Post-demo conversion broadly held, so the slippage is concentrated at the top of the funnel.</t>
  </si>
  <si>
    <t xml:space="preserve">Opp-&gt;Win (early)</t>
  </si>
  <si>
    <t xml:space="preserve">Opp-&gt;Win (baseline)</t>
  </si>
  <si>
    <t xml:space="preserve">Win rates broadly stable. Larger segments convert at roughly half the rate of smaller ones.</t>
  </si>
  <si>
    <t xml:space="preserve">Lead share from 101+ employees</t>
  </si>
  <si>
    <t xml:space="preserve">B = early period, C = baseline. The lead mix is shifting toward larger, lower-converting accounts.</t>
  </si>
  <si>
    <t xml:space="preserve">Staffing model: required capacity by segment</t>
  </si>
  <si>
    <t xml:space="preserve">Required capacity, NOT net-new hires (current headcount is not in the dataset). The allocation follows from the stated illustrative assumptions; it is not a claim of optimality.</t>
  </si>
  <si>
    <t xml:space="preserve">Line item</t>
  </si>
  <si>
    <t xml:space="preserve">Formula / note</t>
  </si>
  <si>
    <t xml:space="preserve">1. Baseline demand: average month, Aug-Oct 2021 (from Data)</t>
  </si>
  <si>
    <t xml:space="preserve">Leads / month</t>
  </si>
  <si>
    <t xml:space="preserve">Average of the baseline months</t>
  </si>
  <si>
    <t xml:space="preserve">Demos / month</t>
  </si>
  <si>
    <t xml:space="preserve">Demos / leads</t>
  </si>
  <si>
    <t xml:space="preserve">Demo-&gt;Win (logos / demos)</t>
  </si>
  <si>
    <t xml:space="preserve">Logos / demos</t>
  </si>
  <si>
    <t xml:space="preserve">ARR / logos</t>
  </si>
  <si>
    <t xml:space="preserve">2. Staffing assumptions (linked from Inputs; illustrative)</t>
  </si>
  <si>
    <t xml:space="preserve">SDR lead capacity / month</t>
  </si>
  <si>
    <t xml:space="preserve">AE demo capacity / month</t>
  </si>
  <si>
    <t xml:space="preserve">SC engagement rate</t>
  </si>
  <si>
    <t xml:space="preserve">SC engagement capacity / month</t>
  </si>
  <si>
    <t xml:space="preserve">3. Baseline required FTE (fractional workload)</t>
  </si>
  <si>
    <t xml:space="preserve">SDR FTE</t>
  </si>
  <si>
    <t xml:space="preserve">Leads / (SDR capacity x utilization)</t>
  </si>
  <si>
    <t xml:space="preserve">AE FTE</t>
  </si>
  <si>
    <t xml:space="preserve">Demos / (AE capacity x utilization)</t>
  </si>
  <si>
    <t xml:space="preserve">SC FTE</t>
  </si>
  <si>
    <t xml:space="preserve">Demos x SC rate / (SC capacity x utilization)</t>
  </si>
  <si>
    <t xml:space="preserve">4. Recommended headcount, baseline (ROUNDUP; covers modeled workload)</t>
  </si>
  <si>
    <t xml:space="preserve">SDR (dedicated per segment)</t>
  </si>
  <si>
    <t xml:space="preserve">ROUNDUP of each segment's SDR FTE</t>
  </si>
  <si>
    <t xml:space="preserve">AE (dedicated per segment)</t>
  </si>
  <si>
    <t xml:space="preserve">ROUNDUP of each segment's AE FTE</t>
  </si>
  <si>
    <t xml:space="preserve">SC: shared pool (Velocity + Emerging MM + Core MM) | Enterprise</t>
  </si>
  <si>
    <t xml:space="preserve">Pool = ROUNDUP of combined FTE in C23:E23. Enterprise = ROUNDUP of its own FTE.</t>
  </si>
  <si>
    <t xml:space="preserve">Total recommended headcount</t>
  </si>
  <si>
    <t xml:space="preserve">AEs per SDR</t>
  </si>
  <si>
    <t xml:space="preserve">Coverage ratio</t>
  </si>
  <si>
    <t xml:space="preserve">AEs per SC</t>
  </si>
  <si>
    <t xml:space="preserve">Shared pool: commercial AEs per pooled SC</t>
  </si>
  <si>
    <t xml:space="preserve">AE utilization at recommended headcount</t>
  </si>
  <si>
    <t xml:space="preserve">Demos / (AE headcount x capacity). Below 85% = headroom created by rounding up.</t>
  </si>
  <si>
    <t xml:space="preserve">5. Expected ARR, baseline (observed conversion; no improvement assumed)</t>
  </si>
  <si>
    <t xml:space="preserve">New ARR / month</t>
  </si>
  <si>
    <t xml:space="preserve">Demos x demo-&gt;win x ARR/logo (= observed baseline ARR)</t>
  </si>
  <si>
    <t xml:space="preserve">Annualized new ARR (x12)</t>
  </si>
  <si>
    <t xml:space="preserve">Run-rate. If the Nov-Dec dip recurs, annual ARR would be lower.</t>
  </si>
  <si>
    <t xml:space="preserve">ARR per AE (recommended headcount)</t>
  </si>
  <si>
    <t xml:space="preserve">Productivity check only</t>
  </si>
  <si>
    <t xml:space="preserve">6. Upside sensitivity: lead-to-demo recovers to the early-period level (NOT a forecast)</t>
  </si>
  <si>
    <t xml:space="preserve">Early-period Lead-&gt;Demo (Feb-Jul-21)</t>
  </si>
  <si>
    <t xml:space="preserve">Recovery applied? (from Inputs)</t>
  </si>
  <si>
    <t xml:space="preserve">Upside Lead-&gt;Demo</t>
  </si>
  <si>
    <t xml:space="preserve">Upside demos / month</t>
  </si>
  <si>
    <t xml:space="preserve">Same leads as baseline; a higher share reaches a demo</t>
  </si>
  <si>
    <t xml:space="preserve">Upside AE FTE</t>
  </si>
  <si>
    <t xml:space="preserve">Upside SC FTE</t>
  </si>
  <si>
    <t xml:space="preserve">Upside SDR headcount</t>
  </si>
  <si>
    <t xml:space="preserve">Unchanged: SDRs are sized to leads, which do not change</t>
  </si>
  <si>
    <t xml:space="preserve">Upside AE headcount</t>
  </si>
  <si>
    <t xml:space="preserve">Upside SC headcount (pool | Enterprise)</t>
  </si>
  <si>
    <t xml:space="preserve">Upside total headcount</t>
  </si>
  <si>
    <t xml:space="preserve">Upside annualized new ARR</t>
  </si>
  <si>
    <t xml:space="preserve">Upside demos x baseline demo-&gt;win x ARR/logo x 12</t>
  </si>
  <si>
    <t xml:space="preserve">Change in ARR vs baseline</t>
  </si>
  <si>
    <t xml:space="preserve">Only if the decline is fixable top-of-funnel friction. If it reflects lead quality, there is no uplift.</t>
  </si>
  <si>
    <t xml:space="preserve">Change in AE headcount vs baseline</t>
  </si>
  <si>
    <t xml:space="preserve">Change in total headcount vs baseline</t>
  </si>
  <si>
    <t xml:space="preserve">7. Optional: enter current ramped headcount to see the hiring gap (blank = unknown)</t>
  </si>
  <si>
    <t xml:space="preserve">Current SDR (enter)</t>
  </si>
  <si>
    <t xml:space="preserve">Current AE (enter)</t>
  </si>
  <si>
    <t xml:space="preserve">Current SC (enter: shared pool in C, Enterprise in F)</t>
  </si>
  <si>
    <t xml:space="preserve">SDR gap = recommended - current</t>
  </si>
  <si>
    <t xml:space="preserve">AE gap = recommended - current</t>
  </si>
  <si>
    <t xml:space="preserve">SC gap = recommended - current</t>
  </si>
  <si>
    <t xml:space="preserve">Hiring need = required capacity - current ramped capacity (+ attrition backfill). Not knowable from this dataset.</t>
  </si>
  <si>
    <t xml:space="preserve">8. How staffing ties to the findings and priorities</t>
  </si>
  <si>
    <t xml:space="preserve">Efficient but low value ($3.8K ARR/logo); the 1-10 bucket is shrinking. Lean AE coverage, automated scheduling, minimal SC.</t>
  </si>
  <si>
    <t xml:space="preserve">Strongest observed revenue yield per lead, and the largest lead-to-demo slippage. Dedicated AEs plus SDR speed-to-lead coverage.</t>
  </si>
  <si>
    <t xml:space="preserve">Largest ARR pool and growing. Lower conversion and more demos per logo, so it gets the largest AE team and SC support on half of demos.</t>
  </si>
  <si>
    <t xml:space="preserve">Fastest growing but lowest conversion. Full SC support and dedicated SDRs; hold expansion until win-rate improvement is shown.</t>
  </si>
  <si>
    <t xml:space="preserve">OPTIONAL appendix: illustrative staffing cost of recommended headcount</t>
  </si>
  <si>
    <t xml:space="preserve">Illustrative SF fully loaded annual cost (salary + variable at target + benefits/taxes). Validate with Comp. Not an ROI, CAC or payback analysis.</t>
  </si>
  <si>
    <t xml:space="preserve">Role</t>
  </si>
  <si>
    <t xml:space="preserve">Loaded cost / FTE (illustrative)</t>
  </si>
  <si>
    <t xml:space="preserve">Baseline headcount</t>
  </si>
  <si>
    <t xml:space="preserve">Baseline cost</t>
  </si>
  <si>
    <t xml:space="preserve">Upside headcount</t>
  </si>
  <si>
    <t xml:space="preserve">Upside cost</t>
  </si>
  <si>
    <t xml:space="preserve">SDR</t>
  </si>
  <si>
    <t xml:space="preserve">AE (blended across segments)</t>
  </si>
  <si>
    <t xml:space="preserve">SC</t>
  </si>
  <si>
    <t xml:space="preserve">Use: a sense of scale for the required capacity. Current headcount is unknown, so this is NOT incremental spend.</t>
  </si>
  <si>
    <t xml:space="preserve">AE pay varies by segment in practice (Enterprise higher, Velocity lower). One blended figure keeps this optional view simple.</t>
  </si>
  <si>
    <t xml:space="preserve">Reconciliation checks</t>
  </si>
  <si>
    <t xml:space="preserve">Every row should read TRUE.</t>
  </si>
  <si>
    <t xml:space="preserve">Check</t>
  </si>
  <si>
    <t xml:space="preserve">Value A</t>
  </si>
  <si>
    <t xml:space="preserve">Value B</t>
  </si>
  <si>
    <t xml:space="preserve">Pass?</t>
  </si>
  <si>
    <t xml:space="preserve">Data has 60 rows (12 months x 5 buckets)</t>
  </si>
  <si>
    <t xml:space="preserve">Funnel segment total leads = sum of Data leads</t>
  </si>
  <si>
    <t xml:space="preserve">Funnel segment total ARR = sum of Data ARR</t>
  </si>
  <si>
    <t xml:space="preserve">Funnel bucket total ARR = segment total ARR</t>
  </si>
  <si>
    <t xml:space="preserve">Monthly trend ARR = segment total ARR</t>
  </si>
  <si>
    <t xml:space="preserve">Staffing baseline leads/month = Data baseline leads / months</t>
  </si>
  <si>
    <t xml:space="preserve">Staffing baseline ARR/month = Data baseline ARR / months</t>
  </si>
  <si>
    <t xml:space="preserve">Staffing baseline leads = Funnel baseline leads</t>
  </si>
  <si>
    <t xml:space="preserve">SDR headcount covers SDR FTE (every segment)</t>
  </si>
  <si>
    <t xml:space="preserve">AE headcount covers AE FTE (every segment)</t>
  </si>
  <si>
    <t xml:space="preserve">SC pool covers pooled SC FTE</t>
  </si>
  <si>
    <t xml:space="preserve">Enterprise SC covers Enterprise SC FTE</t>
  </si>
  <si>
    <t xml:space="preserve">Total headcount = SDR + AE + SC</t>
  </si>
  <si>
    <t xml:space="preserve">Upside headcount &gt;= baseline headcount</t>
  </si>
  <si>
    <t xml:space="preserve">Upside ARR &gt;= baseline ARR</t>
  </si>
  <si>
    <t xml:space="preserve">Cost tab headcount = Staffing headcount</t>
  </si>
  <si>
    <t xml:space="preserve">ALL CHECKS PASS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</si>
</sst>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"/>
    <numFmt numFmtId="166" formatCode="#,##0;\(#,##0\);\-"/>
    <numFmt numFmtId="167" formatCode="0.0%;\(0.0%\);\-"/>
    <numFmt numFmtId="168" formatCode="\$#,##0;&quot;($&quot;#,##0\);\-"/>
    <numFmt numFmtId="169" formatCode="#,##0.0;\(#,##0.0\);\-"/>
    <numFmt numFmtId="170" formatCode="\+0.0%;\-0.0%;\-"/>
    <numFmt numFmtId="171" formatCode="0.00;\(0.00\);\-"/>
    <numFmt numFmtId="172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CF4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1F2A44"/>
        <bgColor rgb="FF003366"/>
      </patternFill>
    </fill>
    <fill>
      <patternFill patternType="solid">
        <fgColor rgb="FFE2EFDA"/>
        <bgColor rgb="FFE8EC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E8EC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leads vs demos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Funnel!B22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Funnel!$A$23:$A$34</c:f>
              <c:strCache>
                <c:ptCount val="12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</c:strCache>
            </c:strRef>
          </c:cat>
          <c:val>
            <c:numRef>
              <c:f>Funnel!$B$23:$B$34</c:f>
              <c:numCache>
                <c:formatCode>#,##0;\(#,##0\);\-</c:formatCode>
                <c:ptCount val="12"/>
                <c:pt idx="0">
                  <c:v>1155</c:v>
                </c:pt>
                <c:pt idx="1">
                  <c:v>1214</c:v>
                </c:pt>
                <c:pt idx="2">
                  <c:v>1315</c:v>
                </c:pt>
                <c:pt idx="3">
                  <c:v>1399</c:v>
                </c:pt>
                <c:pt idx="4">
                  <c:v>1444</c:v>
                </c:pt>
                <c:pt idx="5">
                  <c:v>1560</c:v>
                </c:pt>
                <c:pt idx="6">
                  <c:v>1605</c:v>
                </c:pt>
                <c:pt idx="7">
                  <c:v>1652</c:v>
                </c:pt>
                <c:pt idx="8">
                  <c:v>1877</c:v>
                </c:pt>
                <c:pt idx="9">
                  <c:v>1001</c:v>
                </c:pt>
                <c:pt idx="10">
                  <c:v>1015</c:v>
                </c:pt>
                <c:pt idx="11">
                  <c:v>1915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Funnel!C22</c:f>
              <c:strCache>
                <c:ptCount val="1"/>
                <c:pt idx="0">
                  <c:v>Demos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Funnel!$A$23:$A$34</c:f>
              <c:strCache>
                <c:ptCount val="12"/>
                <c:pt idx="0">
                  <c:v>Feb-21</c:v>
                </c:pt>
                <c:pt idx="1">
                  <c:v>Mar-21</c:v>
                </c:pt>
                <c:pt idx="2">
                  <c:v>Apr-21</c:v>
                </c:pt>
                <c:pt idx="3">
                  <c:v>May-21</c:v>
                </c:pt>
                <c:pt idx="4">
                  <c:v>Jun-21</c:v>
                </c:pt>
                <c:pt idx="5">
                  <c:v>Jul-21</c:v>
                </c:pt>
                <c:pt idx="6">
                  <c:v>Aug-21</c:v>
                </c:pt>
                <c:pt idx="7">
                  <c:v>Sep-21</c:v>
                </c:pt>
                <c:pt idx="8">
                  <c:v>Oct-21</c:v>
                </c:pt>
                <c:pt idx="9">
                  <c:v>Nov-21</c:v>
                </c:pt>
                <c:pt idx="10">
                  <c:v>Dec-21</c:v>
                </c:pt>
                <c:pt idx="11">
                  <c:v>Jan-22</c:v>
                </c:pt>
              </c:strCache>
            </c:strRef>
          </c:cat>
          <c:val>
            <c:numRef>
              <c:f>Funnel!$C$23:$C$34</c:f>
              <c:numCache>
                <c:formatCode>#,##0;\(#,##0\);\-</c:formatCode>
                <c:ptCount val="12"/>
                <c:pt idx="0">
                  <c:v>410</c:v>
                </c:pt>
                <c:pt idx="1">
                  <c:v>401</c:v>
                </c:pt>
                <c:pt idx="2">
                  <c:v>416</c:v>
                </c:pt>
                <c:pt idx="3">
                  <c:v>424</c:v>
                </c:pt>
                <c:pt idx="4">
                  <c:v>423</c:v>
                </c:pt>
                <c:pt idx="5">
                  <c:v>450</c:v>
                </c:pt>
                <c:pt idx="6">
                  <c:v>454</c:v>
                </c:pt>
                <c:pt idx="7">
                  <c:v>466</c:v>
                </c:pt>
                <c:pt idx="8">
                  <c:v>528</c:v>
                </c:pt>
                <c:pt idx="9">
                  <c:v>229</c:v>
                </c:pt>
                <c:pt idx="10">
                  <c:v>212</c:v>
                </c:pt>
                <c:pt idx="11">
                  <c:v>538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004553"/>
        <c:axId val="44011523"/>
      </c:lineChart>
      <c:catAx>
        <c:axId val="7200455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11523"/>
        <c:crosses val="autoZero"/>
        <c:auto val="1"/>
        <c:lblAlgn val="ctr"/>
        <c:lblOffset val="100"/>
        <c:noMultiLvlLbl val="0"/>
      </c:catAx>
      <c:valAx>
        <c:axId val="44011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04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2</xdr:row>
      <xdr:rowOff>160920</xdr:rowOff>
    </xdr:from>
    <xdr:to>
      <xdr:col>24</xdr:col>
      <xdr:colOff>507600</xdr:colOff>
      <xdr:row>15</xdr:row>
      <xdr:rowOff>2880</xdr:rowOff>
    </xdr:to>
    <xdr:graphicFrame>
      <xdr:nvGraphicFramePr>
        <xdr:cNvPr id="0" name="Chart 1"/>
        <xdr:cNvGraphicFramePr/>
      </xdr:nvGraphicFramePr>
      <xdr:xfrm>
        <a:off x="145674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1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true" outlineLevel="0" collapsed="false">
      <c r="B4" s="3" t="s">
        <v>2</v>
      </c>
      <c r="C4" s="4" t="s">
        <v>3</v>
      </c>
    </row>
    <row r="5" customFormat="false" ht="15" hidden="false" customHeight="true" outlineLevel="0" collapsed="false">
      <c r="B5" s="3" t="s">
        <v>4</v>
      </c>
      <c r="C5" s="4" t="s">
        <v>5</v>
      </c>
    </row>
    <row r="6" customFormat="false" ht="15" hidden="false" customHeight="true" outlineLevel="0" collapsed="false">
      <c r="B6" s="3" t="s">
        <v>6</v>
      </c>
      <c r="C6" s="4" t="s">
        <v>7</v>
      </c>
    </row>
    <row r="7" customFormat="false" ht="27.75" hidden="false" customHeight="true" outlineLevel="0" collapsed="false">
      <c r="B7" s="3" t="s">
        <v>8</v>
      </c>
      <c r="C7" s="4" t="s">
        <v>9</v>
      </c>
    </row>
    <row r="8" customFormat="false" ht="27.75" hidden="false" customHeight="true" outlineLevel="0" collapsed="false">
      <c r="B8" s="3" t="s">
        <v>10</v>
      </c>
      <c r="C8" s="4" t="s">
        <v>11</v>
      </c>
    </row>
    <row r="9" customFormat="false" ht="27.75" hidden="false" customHeight="true" outlineLevel="0" collapsed="false">
      <c r="B9" s="3" t="s">
        <v>12</v>
      </c>
      <c r="C9" s="4" t="s">
        <v>13</v>
      </c>
    </row>
    <row r="10" customFormat="false" ht="27.75" hidden="false" customHeight="true" outlineLevel="0" collapsed="false">
      <c r="B10" s="3" t="s">
        <v>14</v>
      </c>
      <c r="C10" s="4" t="s">
        <v>15</v>
      </c>
    </row>
    <row r="11" customFormat="false" ht="15" hidden="false" customHeight="true" outlineLevel="0" collapsed="false">
      <c r="B11" s="3" t="s">
        <v>16</v>
      </c>
      <c r="C11" s="4" t="s">
        <v>17</v>
      </c>
    </row>
    <row r="12" customFormat="false" ht="15" hidden="false" customHeight="true" outlineLevel="0" collapsed="false">
      <c r="B12" s="3" t="s">
        <v>18</v>
      </c>
      <c r="C12" s="4" t="s">
        <v>19</v>
      </c>
    </row>
    <row r="13" customFormat="false" ht="27.75" hidden="false" customHeight="true" outlineLevel="0" collapsed="false">
      <c r="B13" s="3" t="s">
        <v>20</v>
      </c>
      <c r="C13" s="4" t="s">
        <v>21</v>
      </c>
    </row>
    <row r="14" customFormat="false" ht="27.75" hidden="false" customHeight="true" outlineLevel="0" collapsed="false">
      <c r="B14" s="3" t="s">
        <v>22</v>
      </c>
      <c r="C14" s="4" t="s">
        <v>23</v>
      </c>
    </row>
    <row r="15" customFormat="false" ht="27.75" hidden="false" customHeight="true" outlineLevel="0" collapsed="false">
      <c r="B15" s="3" t="s">
        <v>24</v>
      </c>
      <c r="C15" s="4" t="s">
        <v>25</v>
      </c>
    </row>
    <row r="16" customFormat="false" ht="15" hidden="false" customHeight="true" outlineLevel="0" collapsed="false">
      <c r="B16" s="3" t="s">
        <v>26</v>
      </c>
      <c r="C16" s="4" t="s">
        <v>27</v>
      </c>
    </row>
    <row r="17" customFormat="false" ht="27.75" hidden="false" customHeight="true" outlineLevel="0" collapsed="false">
      <c r="B17" s="3" t="s">
        <v>28</v>
      </c>
      <c r="C17" s="4" t="s">
        <v>29</v>
      </c>
    </row>
    <row r="18" customFormat="false" ht="15" hidden="false" customHeight="true" outlineLevel="0" collapsed="false">
      <c r="B18" s="3" t="s">
        <v>30</v>
      </c>
      <c r="C18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6" min="5" style="0" width="17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5" t="s">
        <v>34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B5" s="7" t="s">
        <v>35</v>
      </c>
      <c r="C5" s="8" t="n">
        <v>44228</v>
      </c>
      <c r="G5" s="2" t="s">
        <v>36</v>
      </c>
    </row>
    <row r="6" customFormat="false" ht="15" hidden="false" customHeight="false" outlineLevel="0" collapsed="false">
      <c r="B6" s="7" t="s">
        <v>37</v>
      </c>
      <c r="C6" s="8" t="n">
        <v>44378</v>
      </c>
      <c r="G6" s="2"/>
    </row>
    <row r="7" customFormat="false" ht="15" hidden="false" customHeight="false" outlineLevel="0" collapsed="false">
      <c r="B7" s="7" t="s">
        <v>38</v>
      </c>
      <c r="C7" s="8" t="n">
        <v>44409</v>
      </c>
      <c r="G7" s="2" t="s">
        <v>39</v>
      </c>
    </row>
    <row r="8" customFormat="false" ht="15" hidden="false" customHeight="false" outlineLevel="0" collapsed="false">
      <c r="B8" s="7" t="s">
        <v>40</v>
      </c>
      <c r="C8" s="8" t="n">
        <v>44470</v>
      </c>
      <c r="G8" s="2" t="s">
        <v>41</v>
      </c>
    </row>
    <row r="10" customFormat="false" ht="15" hidden="false" customHeight="false" outlineLevel="0" collapsed="false">
      <c r="A10" s="5" t="s">
        <v>42</v>
      </c>
      <c r="B10" s="6"/>
      <c r="C10" s="6"/>
      <c r="D10" s="6"/>
      <c r="E10" s="6"/>
      <c r="F10" s="6"/>
      <c r="G10" s="6"/>
    </row>
    <row r="11" customFormat="false" ht="30" hidden="false" customHeight="true" outlineLevel="0" collapsed="false">
      <c r="B11" s="9" t="s">
        <v>43</v>
      </c>
      <c r="C11" s="9" t="s">
        <v>44</v>
      </c>
      <c r="D11" s="9" t="s">
        <v>45</v>
      </c>
    </row>
    <row r="12" customFormat="false" ht="15" hidden="false" customHeight="false" outlineLevel="0" collapsed="false">
      <c r="B12" s="10" t="s">
        <v>46</v>
      </c>
      <c r="C12" s="10" t="s">
        <v>47</v>
      </c>
      <c r="D12" s="10" t="s">
        <v>48</v>
      </c>
      <c r="G12" s="2" t="s">
        <v>49</v>
      </c>
    </row>
    <row r="13" customFormat="false" ht="15" hidden="false" customHeight="false" outlineLevel="0" collapsed="false">
      <c r="B13" s="10" t="s">
        <v>50</v>
      </c>
      <c r="C13" s="10" t="s">
        <v>47</v>
      </c>
      <c r="D13" s="10" t="s">
        <v>48</v>
      </c>
    </row>
    <row r="14" customFormat="false" ht="15" hidden="false" customHeight="false" outlineLevel="0" collapsed="false">
      <c r="B14" s="10" t="s">
        <v>51</v>
      </c>
      <c r="C14" s="10" t="s">
        <v>52</v>
      </c>
      <c r="D14" s="10" t="s">
        <v>53</v>
      </c>
    </row>
    <row r="15" customFormat="false" ht="15" hidden="false" customHeight="false" outlineLevel="0" collapsed="false">
      <c r="B15" s="10" t="s">
        <v>54</v>
      </c>
      <c r="C15" s="10" t="s">
        <v>55</v>
      </c>
      <c r="D15" s="10" t="s">
        <v>53</v>
      </c>
    </row>
    <row r="16" customFormat="false" ht="15" hidden="false" customHeight="false" outlineLevel="0" collapsed="false">
      <c r="B16" s="10" t="s">
        <v>56</v>
      </c>
      <c r="C16" s="10" t="s">
        <v>57</v>
      </c>
      <c r="D16" s="10" t="s">
        <v>58</v>
      </c>
    </row>
    <row r="18" customFormat="false" ht="15" hidden="false" customHeight="false" outlineLevel="0" collapsed="false">
      <c r="A18" s="5" t="s">
        <v>59</v>
      </c>
      <c r="B18" s="6"/>
      <c r="C18" s="6"/>
      <c r="D18" s="6"/>
      <c r="E18" s="6"/>
      <c r="F18" s="6"/>
      <c r="G18" s="6"/>
    </row>
    <row r="19" customFormat="false" ht="30" hidden="false" customHeight="true" outlineLevel="0" collapsed="false">
      <c r="B19" s="9" t="s">
        <v>60</v>
      </c>
      <c r="C19" s="9" t="s">
        <v>47</v>
      </c>
      <c r="D19" s="9" t="s">
        <v>52</v>
      </c>
      <c r="E19" s="9" t="s">
        <v>55</v>
      </c>
      <c r="F19" s="9" t="s">
        <v>57</v>
      </c>
      <c r="G19" s="9" t="s">
        <v>61</v>
      </c>
    </row>
    <row r="20" customFormat="false" ht="15" hidden="false" customHeight="false" outlineLevel="0" collapsed="false">
      <c r="B20" s="7" t="s">
        <v>62</v>
      </c>
      <c r="C20" s="11" t="n">
        <v>300</v>
      </c>
      <c r="D20" s="11" t="n">
        <v>200</v>
      </c>
      <c r="E20" s="11" t="n">
        <v>175</v>
      </c>
      <c r="F20" s="11" t="n">
        <v>125</v>
      </c>
      <c r="G20" s="2" t="s">
        <v>63</v>
      </c>
    </row>
    <row r="21" customFormat="false" ht="15" hidden="false" customHeight="false" outlineLevel="0" collapsed="false">
      <c r="B21" s="7" t="s">
        <v>64</v>
      </c>
      <c r="C21" s="11" t="n">
        <v>45</v>
      </c>
      <c r="D21" s="11" t="n">
        <v>30</v>
      </c>
      <c r="E21" s="11" t="n">
        <v>20</v>
      </c>
      <c r="F21" s="11" t="n">
        <v>12</v>
      </c>
      <c r="G21" s="2" t="s">
        <v>65</v>
      </c>
    </row>
    <row r="22" customFormat="false" ht="15" hidden="false" customHeight="false" outlineLevel="0" collapsed="false">
      <c r="B22" s="7" t="s">
        <v>66</v>
      </c>
      <c r="C22" s="12" t="n">
        <v>0.05</v>
      </c>
      <c r="D22" s="12" t="n">
        <v>0.15</v>
      </c>
      <c r="E22" s="12" t="n">
        <v>0.5</v>
      </c>
      <c r="F22" s="12" t="n">
        <v>1</v>
      </c>
      <c r="G22" s="2" t="s">
        <v>67</v>
      </c>
    </row>
    <row r="23" customFormat="false" ht="15" hidden="false" customHeight="false" outlineLevel="0" collapsed="false">
      <c r="B23" s="7" t="s">
        <v>68</v>
      </c>
      <c r="C23" s="11" t="n">
        <v>30</v>
      </c>
      <c r="D23" s="11" t="n">
        <v>30</v>
      </c>
      <c r="E23" s="11" t="n">
        <v>30</v>
      </c>
      <c r="F23" s="11" t="n">
        <v>20</v>
      </c>
      <c r="G23" s="2" t="s">
        <v>69</v>
      </c>
    </row>
    <row r="24" customFormat="false" ht="15" hidden="false" customHeight="false" outlineLevel="0" collapsed="false">
      <c r="B24" s="7" t="s">
        <v>70</v>
      </c>
      <c r="C24" s="12" t="n">
        <v>0.85</v>
      </c>
      <c r="D24" s="12" t="n">
        <v>0.85</v>
      </c>
      <c r="E24" s="12" t="n">
        <v>0.85</v>
      </c>
      <c r="F24" s="12" t="n">
        <v>0.85</v>
      </c>
      <c r="G24" s="2" t="s">
        <v>71</v>
      </c>
    </row>
    <row r="26" customFormat="false" ht="15" hidden="false" customHeight="false" outlineLevel="0" collapsed="false">
      <c r="A26" s="5" t="s">
        <v>72</v>
      </c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B27" s="7" t="s">
        <v>73</v>
      </c>
      <c r="C27" s="11" t="n">
        <v>1</v>
      </c>
      <c r="D27" s="11" t="n">
        <v>1</v>
      </c>
      <c r="E27" s="11" t="n">
        <v>1</v>
      </c>
      <c r="F27" s="11" t="n">
        <v>0</v>
      </c>
      <c r="G27" s="2" t="s">
        <v>74</v>
      </c>
    </row>
    <row r="29" customFormat="false" ht="15" hidden="false" customHeight="false" outlineLevel="0" collapsed="false">
      <c r="A29" s="5" t="s">
        <v>75</v>
      </c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B30" s="2" t="s">
        <v>76</v>
      </c>
    </row>
    <row r="31" customFormat="false" ht="15" hidden="false" customHeight="false" outlineLevel="0" collapsed="false">
      <c r="B31" s="2" t="s">
        <v>77</v>
      </c>
    </row>
    <row r="32" customFormat="false" ht="15" hidden="false" customHeight="false" outlineLevel="0" collapsed="false">
      <c r="B32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4" min="3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9" t="s">
        <v>79</v>
      </c>
      <c r="B1" s="9" t="s">
        <v>43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44</v>
      </c>
      <c r="I1" s="9" t="s">
        <v>85</v>
      </c>
      <c r="J1" s="9" t="s">
        <v>86</v>
      </c>
    </row>
    <row r="2" customFormat="false" ht="15" hidden="false" customHeight="false" outlineLevel="0" collapsed="false">
      <c r="A2" s="13" t="n">
        <v>44228</v>
      </c>
      <c r="B2" s="10" t="s">
        <v>46</v>
      </c>
      <c r="C2" s="14" t="n">
        <v>127</v>
      </c>
      <c r="D2" s="14" t="n">
        <v>55</v>
      </c>
      <c r="E2" s="14" t="n">
        <v>43</v>
      </c>
      <c r="F2" s="14" t="n">
        <v>14</v>
      </c>
      <c r="G2" s="15" t="n">
        <v>43406</v>
      </c>
      <c r="H2" s="16" t="str">
        <f aca="false">INDEX(Inputs!$C$12:$C$16,MATCH(B2,Inputs!$B$12:$B$16,0))</f>
        <v>Velocity (1-50)</v>
      </c>
      <c r="I2" s="7" t="n">
        <f aca="false">IF(AND(A2&gt;=Inputs!$C$5,A2&lt;=Inputs!$C$6),1,0)</f>
        <v>1</v>
      </c>
      <c r="J2" s="7" t="n">
        <f aca="false">IF(AND(A2&gt;=Inputs!$C$7,A2&lt;=Inputs!$C$8),1,0)</f>
        <v>0</v>
      </c>
    </row>
    <row r="3" customFormat="false" ht="15" hidden="false" customHeight="false" outlineLevel="0" collapsed="false">
      <c r="A3" s="13" t="n">
        <v>44228</v>
      </c>
      <c r="B3" s="10" t="s">
        <v>50</v>
      </c>
      <c r="C3" s="14" t="n">
        <v>208</v>
      </c>
      <c r="D3" s="14" t="n">
        <v>92</v>
      </c>
      <c r="E3" s="14" t="n">
        <v>72</v>
      </c>
      <c r="F3" s="14" t="n">
        <v>23</v>
      </c>
      <c r="G3" s="15" t="n">
        <v>90266</v>
      </c>
      <c r="H3" s="16" t="str">
        <f aca="false">INDEX(Inputs!$C$12:$C$16,MATCH(B3,Inputs!$B$12:$B$16,0))</f>
        <v>Velocity (1-50)</v>
      </c>
      <c r="I3" s="7" t="n">
        <f aca="false">IF(AND(A3&gt;=Inputs!$C$5,A3&lt;=Inputs!$C$6),1,0)</f>
        <v>1</v>
      </c>
      <c r="J3" s="7" t="n">
        <f aca="false">IF(AND(A3&gt;=Inputs!$C$7,A3&lt;=Inputs!$C$8),1,0)</f>
        <v>0</v>
      </c>
    </row>
    <row r="4" customFormat="false" ht="15" hidden="false" customHeight="false" outlineLevel="0" collapsed="false">
      <c r="A4" s="13" t="n">
        <v>44228</v>
      </c>
      <c r="B4" s="10" t="s">
        <v>51</v>
      </c>
      <c r="C4" s="14" t="n">
        <v>231</v>
      </c>
      <c r="D4" s="14" t="n">
        <v>97</v>
      </c>
      <c r="E4" s="14" t="n">
        <v>77</v>
      </c>
      <c r="F4" s="14" t="n">
        <v>25</v>
      </c>
      <c r="G4" s="15" t="n">
        <v>228974</v>
      </c>
      <c r="H4" s="16" t="str">
        <f aca="false">INDEX(Inputs!$C$12:$C$16,MATCH(B4,Inputs!$B$12:$B$16,0))</f>
        <v>Emerging MM (51-100)</v>
      </c>
      <c r="I4" s="7" t="n">
        <f aca="false">IF(AND(A4&gt;=Inputs!$C$5,A4&lt;=Inputs!$C$6),1,0)</f>
        <v>1</v>
      </c>
      <c r="J4" s="7" t="n">
        <f aca="false">IF(AND(A4&gt;=Inputs!$C$7,A4&lt;=Inputs!$C$8),1,0)</f>
        <v>0</v>
      </c>
    </row>
    <row r="5" customFormat="false" ht="15" hidden="false" customHeight="false" outlineLevel="0" collapsed="false">
      <c r="A5" s="13" t="n">
        <v>44228</v>
      </c>
      <c r="B5" s="10" t="s">
        <v>54</v>
      </c>
      <c r="C5" s="14" t="n">
        <v>462</v>
      </c>
      <c r="D5" s="14" t="n">
        <v>143</v>
      </c>
      <c r="E5" s="14" t="n">
        <v>99</v>
      </c>
      <c r="F5" s="14" t="n">
        <v>25</v>
      </c>
      <c r="G5" s="15" t="n">
        <v>273899</v>
      </c>
      <c r="H5" s="16" t="str">
        <f aca="false">INDEX(Inputs!$C$12:$C$16,MATCH(B5,Inputs!$B$12:$B$16,0))</f>
        <v>Core MM (101-500)</v>
      </c>
      <c r="I5" s="7" t="n">
        <f aca="false">IF(AND(A5&gt;=Inputs!$C$5,A5&lt;=Inputs!$C$6),1,0)</f>
        <v>1</v>
      </c>
      <c r="J5" s="7" t="n">
        <f aca="false">IF(AND(A5&gt;=Inputs!$C$7,A5&lt;=Inputs!$C$8),1,0)</f>
        <v>0</v>
      </c>
    </row>
    <row r="6" customFormat="false" ht="15" hidden="false" customHeight="false" outlineLevel="0" collapsed="false">
      <c r="A6" s="13" t="n">
        <v>44228</v>
      </c>
      <c r="B6" s="10" t="s">
        <v>56</v>
      </c>
      <c r="C6" s="14" t="n">
        <v>127</v>
      </c>
      <c r="D6" s="14" t="n">
        <v>23</v>
      </c>
      <c r="E6" s="14" t="n">
        <v>15</v>
      </c>
      <c r="F6" s="14" t="n">
        <v>3</v>
      </c>
      <c r="G6" s="15" t="n">
        <v>53825</v>
      </c>
      <c r="H6" s="16" t="str">
        <f aca="false">INDEX(Inputs!$C$12:$C$16,MATCH(B6,Inputs!$B$12:$B$16,0))</f>
        <v>Enterprise (501+)</v>
      </c>
      <c r="I6" s="7" t="n">
        <f aca="false">IF(AND(A6&gt;=Inputs!$C$5,A6&lt;=Inputs!$C$6),1,0)</f>
        <v>1</v>
      </c>
      <c r="J6" s="7" t="n">
        <f aca="false">IF(AND(A6&gt;=Inputs!$C$7,A6&lt;=Inputs!$C$8),1,0)</f>
        <v>0</v>
      </c>
    </row>
    <row r="7" customFormat="false" ht="15" hidden="false" customHeight="false" outlineLevel="0" collapsed="false">
      <c r="A7" s="13" t="n">
        <v>44256</v>
      </c>
      <c r="B7" s="10" t="s">
        <v>46</v>
      </c>
      <c r="C7" s="14" t="n">
        <v>109</v>
      </c>
      <c r="D7" s="14" t="n">
        <v>46</v>
      </c>
      <c r="E7" s="14" t="n">
        <v>36</v>
      </c>
      <c r="F7" s="14" t="n">
        <v>12</v>
      </c>
      <c r="G7" s="15" t="n">
        <v>35764</v>
      </c>
      <c r="H7" s="16" t="str">
        <f aca="false">INDEX(Inputs!$C$12:$C$16,MATCH(B7,Inputs!$B$12:$B$16,0))</f>
        <v>Velocity (1-50)</v>
      </c>
      <c r="I7" s="7" t="n">
        <f aca="false">IF(AND(A7&gt;=Inputs!$C$5,A7&lt;=Inputs!$C$6),1,0)</f>
        <v>1</v>
      </c>
      <c r="J7" s="7" t="n">
        <f aca="false">IF(AND(A7&gt;=Inputs!$C$7,A7&lt;=Inputs!$C$8),1,0)</f>
        <v>0</v>
      </c>
    </row>
    <row r="8" customFormat="false" ht="15" hidden="false" customHeight="false" outlineLevel="0" collapsed="false">
      <c r="A8" s="13" t="n">
        <v>44256</v>
      </c>
      <c r="B8" s="10" t="s">
        <v>50</v>
      </c>
      <c r="C8" s="14" t="n">
        <v>170</v>
      </c>
      <c r="D8" s="14" t="n">
        <v>73</v>
      </c>
      <c r="E8" s="14" t="n">
        <v>59</v>
      </c>
      <c r="F8" s="14" t="n">
        <v>19</v>
      </c>
      <c r="G8" s="15" t="n">
        <v>77239</v>
      </c>
      <c r="H8" s="16" t="str">
        <f aca="false">INDEX(Inputs!$C$12:$C$16,MATCH(B8,Inputs!$B$12:$B$16,0))</f>
        <v>Velocity (1-50)</v>
      </c>
      <c r="I8" s="7" t="n">
        <f aca="false">IF(AND(A8&gt;=Inputs!$C$5,A8&lt;=Inputs!$C$6),1,0)</f>
        <v>1</v>
      </c>
      <c r="J8" s="7" t="n">
        <f aca="false">IF(AND(A8&gt;=Inputs!$C$7,A8&lt;=Inputs!$C$8),1,0)</f>
        <v>0</v>
      </c>
    </row>
    <row r="9" customFormat="false" ht="15" hidden="false" customHeight="false" outlineLevel="0" collapsed="false">
      <c r="A9" s="13" t="n">
        <v>44256</v>
      </c>
      <c r="B9" s="10" t="s">
        <v>51</v>
      </c>
      <c r="C9" s="14" t="n">
        <v>231</v>
      </c>
      <c r="D9" s="14" t="n">
        <v>92</v>
      </c>
      <c r="E9" s="14" t="n">
        <v>73</v>
      </c>
      <c r="F9" s="14" t="n">
        <v>24</v>
      </c>
      <c r="G9" s="15" t="n">
        <v>219137</v>
      </c>
      <c r="H9" s="16" t="str">
        <f aca="false">INDEX(Inputs!$C$12:$C$16,MATCH(B9,Inputs!$B$12:$B$16,0))</f>
        <v>Emerging MM (51-100)</v>
      </c>
      <c r="I9" s="7" t="n">
        <f aca="false">IF(AND(A9&gt;=Inputs!$C$5,A9&lt;=Inputs!$C$6),1,0)</f>
        <v>1</v>
      </c>
      <c r="J9" s="7" t="n">
        <f aca="false">IF(AND(A9&gt;=Inputs!$C$7,A9&lt;=Inputs!$C$8),1,0)</f>
        <v>0</v>
      </c>
    </row>
    <row r="10" customFormat="false" ht="15" hidden="false" customHeight="false" outlineLevel="0" collapsed="false">
      <c r="A10" s="13" t="n">
        <v>44256</v>
      </c>
      <c r="B10" s="10" t="s">
        <v>54</v>
      </c>
      <c r="C10" s="14" t="n">
        <v>510</v>
      </c>
      <c r="D10" s="14" t="n">
        <v>153</v>
      </c>
      <c r="E10" s="14" t="n">
        <v>104</v>
      </c>
      <c r="F10" s="14" t="n">
        <v>26</v>
      </c>
      <c r="G10" s="15" t="n">
        <v>274151</v>
      </c>
      <c r="H10" s="16" t="str">
        <f aca="false">INDEX(Inputs!$C$12:$C$16,MATCH(B10,Inputs!$B$12:$B$16,0))</f>
        <v>Core MM (101-500)</v>
      </c>
      <c r="I10" s="7" t="n">
        <f aca="false">IF(AND(A10&gt;=Inputs!$C$5,A10&lt;=Inputs!$C$6),1,0)</f>
        <v>1</v>
      </c>
      <c r="J10" s="7" t="n">
        <f aca="false">IF(AND(A10&gt;=Inputs!$C$7,A10&lt;=Inputs!$C$8),1,0)</f>
        <v>0</v>
      </c>
    </row>
    <row r="11" customFormat="false" ht="15" hidden="false" customHeight="false" outlineLevel="0" collapsed="false">
      <c r="A11" s="13" t="n">
        <v>44256</v>
      </c>
      <c r="B11" s="10" t="s">
        <v>56</v>
      </c>
      <c r="C11" s="14" t="n">
        <v>194</v>
      </c>
      <c r="D11" s="14" t="n">
        <v>37</v>
      </c>
      <c r="E11" s="14" t="n">
        <v>24</v>
      </c>
      <c r="F11" s="14" t="n">
        <v>5</v>
      </c>
      <c r="G11" s="15" t="n">
        <v>111848</v>
      </c>
      <c r="H11" s="16" t="str">
        <f aca="false">INDEX(Inputs!$C$12:$C$16,MATCH(B11,Inputs!$B$12:$B$16,0))</f>
        <v>Enterprise (501+)</v>
      </c>
      <c r="I11" s="7" t="n">
        <f aca="false">IF(AND(A11&gt;=Inputs!$C$5,A11&lt;=Inputs!$C$6),1,0)</f>
        <v>1</v>
      </c>
      <c r="J11" s="7" t="n">
        <f aca="false">IF(AND(A11&gt;=Inputs!$C$7,A11&lt;=Inputs!$C$8),1,0)</f>
        <v>0</v>
      </c>
    </row>
    <row r="12" customFormat="false" ht="15" hidden="false" customHeight="false" outlineLevel="0" collapsed="false">
      <c r="A12" s="13" t="n">
        <v>44287</v>
      </c>
      <c r="B12" s="10" t="s">
        <v>46</v>
      </c>
      <c r="C12" s="14" t="n">
        <v>132</v>
      </c>
      <c r="D12" s="14" t="n">
        <v>53</v>
      </c>
      <c r="E12" s="14" t="n">
        <v>43</v>
      </c>
      <c r="F12" s="14" t="n">
        <v>14</v>
      </c>
      <c r="G12" s="15" t="n">
        <v>39525</v>
      </c>
      <c r="H12" s="16" t="str">
        <f aca="false">INDEX(Inputs!$C$12:$C$16,MATCH(B12,Inputs!$B$12:$B$16,0))</f>
        <v>Velocity (1-50)</v>
      </c>
      <c r="I12" s="7" t="n">
        <f aca="false">IF(AND(A12&gt;=Inputs!$C$5,A12&lt;=Inputs!$C$6),1,0)</f>
        <v>1</v>
      </c>
      <c r="J12" s="7" t="n">
        <f aca="false">IF(AND(A12&gt;=Inputs!$C$7,A12&lt;=Inputs!$C$8),1,0)</f>
        <v>0</v>
      </c>
    </row>
    <row r="13" customFormat="false" ht="15" hidden="false" customHeight="false" outlineLevel="0" collapsed="false">
      <c r="A13" s="13" t="n">
        <v>44287</v>
      </c>
      <c r="B13" s="10" t="s">
        <v>50</v>
      </c>
      <c r="C13" s="14" t="n">
        <v>197</v>
      </c>
      <c r="D13" s="14" t="n">
        <v>79</v>
      </c>
      <c r="E13" s="14" t="n">
        <v>62</v>
      </c>
      <c r="F13" s="14" t="n">
        <v>21</v>
      </c>
      <c r="G13" s="15" t="n">
        <v>83326</v>
      </c>
      <c r="H13" s="16" t="str">
        <f aca="false">INDEX(Inputs!$C$12:$C$16,MATCH(B13,Inputs!$B$12:$B$16,0))</f>
        <v>Velocity (1-50)</v>
      </c>
      <c r="I13" s="7" t="n">
        <f aca="false">IF(AND(A13&gt;=Inputs!$C$5,A13&lt;=Inputs!$C$6),1,0)</f>
        <v>1</v>
      </c>
      <c r="J13" s="7" t="n">
        <f aca="false">IF(AND(A13&gt;=Inputs!$C$7,A13&lt;=Inputs!$C$8),1,0)</f>
        <v>0</v>
      </c>
    </row>
    <row r="14" customFormat="false" ht="15" hidden="false" customHeight="false" outlineLevel="0" collapsed="false">
      <c r="A14" s="13" t="n">
        <v>44287</v>
      </c>
      <c r="B14" s="10" t="s">
        <v>51</v>
      </c>
      <c r="C14" s="14" t="n">
        <v>237</v>
      </c>
      <c r="D14" s="14" t="n">
        <v>95</v>
      </c>
      <c r="E14" s="14" t="n">
        <v>75</v>
      </c>
      <c r="F14" s="14" t="n">
        <v>24</v>
      </c>
      <c r="G14" s="15" t="n">
        <v>213142</v>
      </c>
      <c r="H14" s="16" t="str">
        <f aca="false">INDEX(Inputs!$C$12:$C$16,MATCH(B14,Inputs!$B$12:$B$16,0))</f>
        <v>Emerging MM (51-100)</v>
      </c>
      <c r="I14" s="7" t="n">
        <f aca="false">IF(AND(A14&gt;=Inputs!$C$5,A14&lt;=Inputs!$C$6),1,0)</f>
        <v>1</v>
      </c>
      <c r="J14" s="7" t="n">
        <f aca="false">IF(AND(A14&gt;=Inputs!$C$7,A14&lt;=Inputs!$C$8),1,0)</f>
        <v>0</v>
      </c>
    </row>
    <row r="15" customFormat="false" ht="15" hidden="false" customHeight="false" outlineLevel="0" collapsed="false">
      <c r="A15" s="13" t="n">
        <v>44287</v>
      </c>
      <c r="B15" s="10" t="s">
        <v>54</v>
      </c>
      <c r="C15" s="14" t="n">
        <v>539</v>
      </c>
      <c r="D15" s="14" t="n">
        <v>151</v>
      </c>
      <c r="E15" s="14" t="n">
        <v>107</v>
      </c>
      <c r="F15" s="14" t="n">
        <v>30</v>
      </c>
      <c r="G15" s="15" t="n">
        <v>334115</v>
      </c>
      <c r="H15" s="16" t="str">
        <f aca="false">INDEX(Inputs!$C$12:$C$16,MATCH(B15,Inputs!$B$12:$B$16,0))</f>
        <v>Core MM (101-500)</v>
      </c>
      <c r="I15" s="7" t="n">
        <f aca="false">IF(AND(A15&gt;=Inputs!$C$5,A15&lt;=Inputs!$C$6),1,0)</f>
        <v>1</v>
      </c>
      <c r="J15" s="7" t="n">
        <f aca="false">IF(AND(A15&gt;=Inputs!$C$7,A15&lt;=Inputs!$C$8),1,0)</f>
        <v>0</v>
      </c>
    </row>
    <row r="16" customFormat="false" ht="15" hidden="false" customHeight="false" outlineLevel="0" collapsed="false">
      <c r="A16" s="13" t="n">
        <v>44287</v>
      </c>
      <c r="B16" s="10" t="s">
        <v>56</v>
      </c>
      <c r="C16" s="14" t="n">
        <v>210</v>
      </c>
      <c r="D16" s="14" t="n">
        <v>38</v>
      </c>
      <c r="E16" s="14" t="n">
        <v>25</v>
      </c>
      <c r="F16" s="14" t="n">
        <v>4</v>
      </c>
      <c r="G16" s="15" t="n">
        <v>86065</v>
      </c>
      <c r="H16" s="16" t="str">
        <f aca="false">INDEX(Inputs!$C$12:$C$16,MATCH(B16,Inputs!$B$12:$B$16,0))</f>
        <v>Enterprise (501+)</v>
      </c>
      <c r="I16" s="7" t="n">
        <f aca="false">IF(AND(A16&gt;=Inputs!$C$5,A16&lt;=Inputs!$C$6),1,0)</f>
        <v>1</v>
      </c>
      <c r="J16" s="7" t="n">
        <f aca="false">IF(AND(A16&gt;=Inputs!$C$7,A16&lt;=Inputs!$C$8),1,0)</f>
        <v>0</v>
      </c>
    </row>
    <row r="17" customFormat="false" ht="15" hidden="false" customHeight="false" outlineLevel="0" collapsed="false">
      <c r="A17" s="13" t="n">
        <v>44317</v>
      </c>
      <c r="B17" s="10" t="s">
        <v>46</v>
      </c>
      <c r="C17" s="14" t="n">
        <v>112</v>
      </c>
      <c r="D17" s="14" t="n">
        <v>42</v>
      </c>
      <c r="E17" s="14" t="n">
        <v>35</v>
      </c>
      <c r="F17" s="14" t="n">
        <v>13</v>
      </c>
      <c r="G17" s="15" t="n">
        <v>38373</v>
      </c>
      <c r="H17" s="16" t="str">
        <f aca="false">INDEX(Inputs!$C$12:$C$16,MATCH(B17,Inputs!$B$12:$B$16,0))</f>
        <v>Velocity (1-50)</v>
      </c>
      <c r="I17" s="7" t="n">
        <f aca="false">IF(AND(A17&gt;=Inputs!$C$5,A17&lt;=Inputs!$C$6),1,0)</f>
        <v>1</v>
      </c>
      <c r="J17" s="7" t="n">
        <f aca="false">IF(AND(A17&gt;=Inputs!$C$7,A17&lt;=Inputs!$C$8),1,0)</f>
        <v>0</v>
      </c>
    </row>
    <row r="18" customFormat="false" ht="15" hidden="false" customHeight="false" outlineLevel="0" collapsed="false">
      <c r="A18" s="13" t="n">
        <v>44317</v>
      </c>
      <c r="B18" s="10" t="s">
        <v>50</v>
      </c>
      <c r="C18" s="14" t="n">
        <v>182</v>
      </c>
      <c r="D18" s="14" t="n">
        <v>71</v>
      </c>
      <c r="E18" s="14" t="n">
        <v>55</v>
      </c>
      <c r="F18" s="14" t="n">
        <v>21</v>
      </c>
      <c r="G18" s="15" t="n">
        <v>84055</v>
      </c>
      <c r="H18" s="16" t="str">
        <f aca="false">INDEX(Inputs!$C$12:$C$16,MATCH(B18,Inputs!$B$12:$B$16,0))</f>
        <v>Velocity (1-50)</v>
      </c>
      <c r="I18" s="7" t="n">
        <f aca="false">IF(AND(A18&gt;=Inputs!$C$5,A18&lt;=Inputs!$C$6),1,0)</f>
        <v>1</v>
      </c>
      <c r="J18" s="7" t="n">
        <f aca="false">IF(AND(A18&gt;=Inputs!$C$7,A18&lt;=Inputs!$C$8),1,0)</f>
        <v>0</v>
      </c>
    </row>
    <row r="19" customFormat="false" ht="15" hidden="false" customHeight="false" outlineLevel="0" collapsed="false">
      <c r="A19" s="13" t="n">
        <v>44317</v>
      </c>
      <c r="B19" s="10" t="s">
        <v>51</v>
      </c>
      <c r="C19" s="14" t="n">
        <v>266</v>
      </c>
      <c r="D19" s="14" t="n">
        <v>104</v>
      </c>
      <c r="E19" s="14" t="n">
        <v>82</v>
      </c>
      <c r="F19" s="14" t="n">
        <v>32</v>
      </c>
      <c r="G19" s="15" t="n">
        <v>289707</v>
      </c>
      <c r="H19" s="16" t="str">
        <f aca="false">INDEX(Inputs!$C$12:$C$16,MATCH(B19,Inputs!$B$12:$B$16,0))</f>
        <v>Emerging MM (51-100)</v>
      </c>
      <c r="I19" s="7" t="n">
        <f aca="false">IF(AND(A19&gt;=Inputs!$C$5,A19&lt;=Inputs!$C$6),1,0)</f>
        <v>1</v>
      </c>
      <c r="J19" s="7" t="n">
        <f aca="false">IF(AND(A19&gt;=Inputs!$C$7,A19&lt;=Inputs!$C$8),1,0)</f>
        <v>0</v>
      </c>
    </row>
    <row r="20" customFormat="false" ht="15" hidden="false" customHeight="false" outlineLevel="0" collapsed="false">
      <c r="A20" s="13" t="n">
        <v>44317</v>
      </c>
      <c r="B20" s="10" t="s">
        <v>54</v>
      </c>
      <c r="C20" s="14" t="n">
        <v>559</v>
      </c>
      <c r="D20" s="14" t="n">
        <v>151</v>
      </c>
      <c r="E20" s="14" t="n">
        <v>109</v>
      </c>
      <c r="F20" s="14" t="n">
        <v>29</v>
      </c>
      <c r="G20" s="15" t="n">
        <v>354476</v>
      </c>
      <c r="H20" s="16" t="str">
        <f aca="false">INDEX(Inputs!$C$12:$C$16,MATCH(B20,Inputs!$B$12:$B$16,0))</f>
        <v>Core MM (101-500)</v>
      </c>
      <c r="I20" s="7" t="n">
        <f aca="false">IF(AND(A20&gt;=Inputs!$C$5,A20&lt;=Inputs!$C$6),1,0)</f>
        <v>1</v>
      </c>
      <c r="J20" s="7" t="n">
        <f aca="false">IF(AND(A20&gt;=Inputs!$C$7,A20&lt;=Inputs!$C$8),1,0)</f>
        <v>0</v>
      </c>
    </row>
    <row r="21" customFormat="false" ht="15" hidden="false" customHeight="false" outlineLevel="0" collapsed="false">
      <c r="A21" s="13" t="n">
        <v>44317</v>
      </c>
      <c r="B21" s="10" t="s">
        <v>56</v>
      </c>
      <c r="C21" s="14" t="n">
        <v>280</v>
      </c>
      <c r="D21" s="14" t="n">
        <v>56</v>
      </c>
      <c r="E21" s="14" t="n">
        <v>37</v>
      </c>
      <c r="F21" s="14" t="n">
        <v>8</v>
      </c>
      <c r="G21" s="15" t="n">
        <v>158846</v>
      </c>
      <c r="H21" s="16" t="str">
        <f aca="false">INDEX(Inputs!$C$12:$C$16,MATCH(B21,Inputs!$B$12:$B$16,0))</f>
        <v>Enterprise (501+)</v>
      </c>
      <c r="I21" s="7" t="n">
        <f aca="false">IF(AND(A21&gt;=Inputs!$C$5,A21&lt;=Inputs!$C$6),1,0)</f>
        <v>1</v>
      </c>
      <c r="J21" s="7" t="n">
        <f aca="false">IF(AND(A21&gt;=Inputs!$C$7,A21&lt;=Inputs!$C$8),1,0)</f>
        <v>0</v>
      </c>
    </row>
    <row r="22" customFormat="false" ht="15" hidden="false" customHeight="false" outlineLevel="0" collapsed="false">
      <c r="A22" s="13" t="n">
        <v>44348</v>
      </c>
      <c r="B22" s="10" t="s">
        <v>46</v>
      </c>
      <c r="C22" s="14" t="n">
        <v>101</v>
      </c>
      <c r="D22" s="14" t="n">
        <v>37</v>
      </c>
      <c r="E22" s="14" t="n">
        <v>30</v>
      </c>
      <c r="F22" s="14" t="n">
        <v>10</v>
      </c>
      <c r="G22" s="15" t="n">
        <v>30704</v>
      </c>
      <c r="H22" s="16" t="str">
        <f aca="false">INDEX(Inputs!$C$12:$C$16,MATCH(B22,Inputs!$B$12:$B$16,0))</f>
        <v>Velocity (1-50)</v>
      </c>
      <c r="I22" s="7" t="n">
        <f aca="false">IF(AND(A22&gt;=Inputs!$C$5,A22&lt;=Inputs!$C$6),1,0)</f>
        <v>1</v>
      </c>
      <c r="J22" s="7" t="n">
        <f aca="false">IF(AND(A22&gt;=Inputs!$C$7,A22&lt;=Inputs!$C$8),1,0)</f>
        <v>0</v>
      </c>
    </row>
    <row r="23" customFormat="false" ht="15" hidden="false" customHeight="false" outlineLevel="0" collapsed="false">
      <c r="A23" s="13" t="n">
        <v>44348</v>
      </c>
      <c r="B23" s="10" t="s">
        <v>50</v>
      </c>
      <c r="C23" s="14" t="n">
        <v>217</v>
      </c>
      <c r="D23" s="14" t="n">
        <v>80</v>
      </c>
      <c r="E23" s="14" t="n">
        <v>66</v>
      </c>
      <c r="F23" s="14" t="n">
        <v>22</v>
      </c>
      <c r="G23" s="15" t="n">
        <v>91519</v>
      </c>
      <c r="H23" s="16" t="str">
        <f aca="false">INDEX(Inputs!$C$12:$C$16,MATCH(B23,Inputs!$B$12:$B$16,0))</f>
        <v>Velocity (1-50)</v>
      </c>
      <c r="I23" s="7" t="n">
        <f aca="false">IF(AND(A23&gt;=Inputs!$C$5,A23&lt;=Inputs!$C$6),1,0)</f>
        <v>1</v>
      </c>
      <c r="J23" s="7" t="n">
        <f aca="false">IF(AND(A23&gt;=Inputs!$C$7,A23&lt;=Inputs!$C$8),1,0)</f>
        <v>0</v>
      </c>
    </row>
    <row r="24" customFormat="false" ht="15" hidden="false" customHeight="false" outlineLevel="0" collapsed="false">
      <c r="A24" s="13" t="n">
        <v>44348</v>
      </c>
      <c r="B24" s="10" t="s">
        <v>51</v>
      </c>
      <c r="C24" s="14" t="n">
        <v>289</v>
      </c>
      <c r="D24" s="14" t="n">
        <v>107</v>
      </c>
      <c r="E24" s="14" t="n">
        <v>84</v>
      </c>
      <c r="F24" s="14" t="n">
        <v>29</v>
      </c>
      <c r="G24" s="15" t="n">
        <v>261815</v>
      </c>
      <c r="H24" s="16" t="str">
        <f aca="false">INDEX(Inputs!$C$12:$C$16,MATCH(B24,Inputs!$B$12:$B$16,0))</f>
        <v>Emerging MM (51-100)</v>
      </c>
      <c r="I24" s="7" t="n">
        <f aca="false">IF(AND(A24&gt;=Inputs!$C$5,A24&lt;=Inputs!$C$6),1,0)</f>
        <v>1</v>
      </c>
      <c r="J24" s="7" t="n">
        <f aca="false">IF(AND(A24&gt;=Inputs!$C$7,A24&lt;=Inputs!$C$8),1,0)</f>
        <v>0</v>
      </c>
    </row>
    <row r="25" customFormat="false" ht="15" hidden="false" customHeight="false" outlineLevel="0" collapsed="false">
      <c r="A25" s="13" t="n">
        <v>44348</v>
      </c>
      <c r="B25" s="10" t="s">
        <v>54</v>
      </c>
      <c r="C25" s="14" t="n">
        <v>563</v>
      </c>
      <c r="D25" s="14" t="n">
        <v>141</v>
      </c>
      <c r="E25" s="14" t="n">
        <v>100</v>
      </c>
      <c r="F25" s="14" t="n">
        <v>25</v>
      </c>
      <c r="G25" s="15" t="n">
        <v>302482</v>
      </c>
      <c r="H25" s="16" t="str">
        <f aca="false">INDEX(Inputs!$C$12:$C$16,MATCH(B25,Inputs!$B$12:$B$16,0))</f>
        <v>Core MM (101-500)</v>
      </c>
      <c r="I25" s="7" t="n">
        <f aca="false">IF(AND(A25&gt;=Inputs!$C$5,A25&lt;=Inputs!$C$6),1,0)</f>
        <v>1</v>
      </c>
      <c r="J25" s="7" t="n">
        <f aca="false">IF(AND(A25&gt;=Inputs!$C$7,A25&lt;=Inputs!$C$8),1,0)</f>
        <v>0</v>
      </c>
    </row>
    <row r="26" customFormat="false" ht="15" hidden="false" customHeight="false" outlineLevel="0" collapsed="false">
      <c r="A26" s="13" t="n">
        <v>44348</v>
      </c>
      <c r="B26" s="10" t="s">
        <v>56</v>
      </c>
      <c r="C26" s="14" t="n">
        <v>274</v>
      </c>
      <c r="D26" s="14" t="n">
        <v>58</v>
      </c>
      <c r="E26" s="14" t="n">
        <v>36</v>
      </c>
      <c r="F26" s="14" t="n">
        <v>8</v>
      </c>
      <c r="G26" s="15" t="n">
        <v>170291</v>
      </c>
      <c r="H26" s="16" t="str">
        <f aca="false">INDEX(Inputs!$C$12:$C$16,MATCH(B26,Inputs!$B$12:$B$16,0))</f>
        <v>Enterprise (501+)</v>
      </c>
      <c r="I26" s="7" t="n">
        <f aca="false">IF(AND(A26&gt;=Inputs!$C$5,A26&lt;=Inputs!$C$6),1,0)</f>
        <v>1</v>
      </c>
      <c r="J26" s="7" t="n">
        <f aca="false">IF(AND(A26&gt;=Inputs!$C$7,A26&lt;=Inputs!$C$8),1,0)</f>
        <v>0</v>
      </c>
    </row>
    <row r="27" customFormat="false" ht="15" hidden="false" customHeight="false" outlineLevel="0" collapsed="false">
      <c r="A27" s="13" t="n">
        <v>44378</v>
      </c>
      <c r="B27" s="10" t="s">
        <v>46</v>
      </c>
      <c r="C27" s="14" t="n">
        <v>109</v>
      </c>
      <c r="D27" s="14" t="n">
        <v>39</v>
      </c>
      <c r="E27" s="14" t="n">
        <v>33</v>
      </c>
      <c r="F27" s="14" t="n">
        <v>12</v>
      </c>
      <c r="G27" s="15" t="n">
        <v>34722</v>
      </c>
      <c r="H27" s="16" t="str">
        <f aca="false">INDEX(Inputs!$C$12:$C$16,MATCH(B27,Inputs!$B$12:$B$16,0))</f>
        <v>Velocity (1-50)</v>
      </c>
      <c r="I27" s="7" t="n">
        <f aca="false">IF(AND(A27&gt;=Inputs!$C$5,A27&lt;=Inputs!$C$6),1,0)</f>
        <v>1</v>
      </c>
      <c r="J27" s="7" t="n">
        <f aca="false">IF(AND(A27&gt;=Inputs!$C$7,A27&lt;=Inputs!$C$8),1,0)</f>
        <v>0</v>
      </c>
    </row>
    <row r="28" customFormat="false" ht="15" hidden="false" customHeight="false" outlineLevel="0" collapsed="false">
      <c r="A28" s="13" t="n">
        <v>44378</v>
      </c>
      <c r="B28" s="10" t="s">
        <v>50</v>
      </c>
      <c r="C28" s="14" t="n">
        <v>250</v>
      </c>
      <c r="D28" s="14" t="n">
        <v>90</v>
      </c>
      <c r="E28" s="14" t="n">
        <v>71</v>
      </c>
      <c r="F28" s="14" t="n">
        <v>26</v>
      </c>
      <c r="G28" s="15" t="n">
        <v>104469</v>
      </c>
      <c r="H28" s="16" t="str">
        <f aca="false">INDEX(Inputs!$C$12:$C$16,MATCH(B28,Inputs!$B$12:$B$16,0))</f>
        <v>Velocity (1-50)</v>
      </c>
      <c r="I28" s="7" t="n">
        <f aca="false">IF(AND(A28&gt;=Inputs!$C$5,A28&lt;=Inputs!$C$6),1,0)</f>
        <v>1</v>
      </c>
      <c r="J28" s="7" t="n">
        <f aca="false">IF(AND(A28&gt;=Inputs!$C$7,A28&lt;=Inputs!$C$8),1,0)</f>
        <v>0</v>
      </c>
    </row>
    <row r="29" customFormat="false" ht="15" hidden="false" customHeight="false" outlineLevel="0" collapsed="false">
      <c r="A29" s="13" t="n">
        <v>44378</v>
      </c>
      <c r="B29" s="10" t="s">
        <v>51</v>
      </c>
      <c r="C29" s="14" t="n">
        <v>312</v>
      </c>
      <c r="D29" s="14" t="n">
        <v>115</v>
      </c>
      <c r="E29" s="14" t="n">
        <v>91</v>
      </c>
      <c r="F29" s="14" t="n">
        <v>34</v>
      </c>
      <c r="G29" s="15" t="n">
        <v>310572</v>
      </c>
      <c r="H29" s="16" t="str">
        <f aca="false">INDEX(Inputs!$C$12:$C$16,MATCH(B29,Inputs!$B$12:$B$16,0))</f>
        <v>Emerging MM (51-100)</v>
      </c>
      <c r="I29" s="7" t="n">
        <f aca="false">IF(AND(A29&gt;=Inputs!$C$5,A29&lt;=Inputs!$C$6),1,0)</f>
        <v>1</v>
      </c>
      <c r="J29" s="7" t="n">
        <f aca="false">IF(AND(A29&gt;=Inputs!$C$7,A29&lt;=Inputs!$C$8),1,0)</f>
        <v>0</v>
      </c>
    </row>
    <row r="30" customFormat="false" ht="15" hidden="false" customHeight="false" outlineLevel="0" collapsed="false">
      <c r="A30" s="13" t="n">
        <v>44378</v>
      </c>
      <c r="B30" s="10" t="s">
        <v>54</v>
      </c>
      <c r="C30" s="14" t="n">
        <v>624</v>
      </c>
      <c r="D30" s="14" t="n">
        <v>156</v>
      </c>
      <c r="E30" s="14" t="n">
        <v>111</v>
      </c>
      <c r="F30" s="14" t="n">
        <v>28</v>
      </c>
      <c r="G30" s="15" t="n">
        <v>329705</v>
      </c>
      <c r="H30" s="16" t="str">
        <f aca="false">INDEX(Inputs!$C$12:$C$16,MATCH(B30,Inputs!$B$12:$B$16,0))</f>
        <v>Core MM (101-500)</v>
      </c>
      <c r="I30" s="7" t="n">
        <f aca="false">IF(AND(A30&gt;=Inputs!$C$5,A30&lt;=Inputs!$C$6),1,0)</f>
        <v>1</v>
      </c>
      <c r="J30" s="7" t="n">
        <f aca="false">IF(AND(A30&gt;=Inputs!$C$7,A30&lt;=Inputs!$C$8),1,0)</f>
        <v>0</v>
      </c>
    </row>
    <row r="31" customFormat="false" ht="15" hidden="false" customHeight="false" outlineLevel="0" collapsed="false">
      <c r="A31" s="13" t="n">
        <v>44378</v>
      </c>
      <c r="B31" s="10" t="s">
        <v>56</v>
      </c>
      <c r="C31" s="14" t="n">
        <v>265</v>
      </c>
      <c r="D31" s="14" t="n">
        <v>50</v>
      </c>
      <c r="E31" s="14" t="n">
        <v>33</v>
      </c>
      <c r="F31" s="14" t="n">
        <v>7</v>
      </c>
      <c r="G31" s="15" t="n">
        <v>152202</v>
      </c>
      <c r="H31" s="16" t="str">
        <f aca="false">INDEX(Inputs!$C$12:$C$16,MATCH(B31,Inputs!$B$12:$B$16,0))</f>
        <v>Enterprise (501+)</v>
      </c>
      <c r="I31" s="7" t="n">
        <f aca="false">IF(AND(A31&gt;=Inputs!$C$5,A31&lt;=Inputs!$C$6),1,0)</f>
        <v>1</v>
      </c>
      <c r="J31" s="7" t="n">
        <f aca="false">IF(AND(A31&gt;=Inputs!$C$7,A31&lt;=Inputs!$C$8),1,0)</f>
        <v>0</v>
      </c>
    </row>
    <row r="32" customFormat="false" ht="15" hidden="false" customHeight="false" outlineLevel="0" collapsed="false">
      <c r="A32" s="13" t="n">
        <v>44409</v>
      </c>
      <c r="B32" s="10" t="s">
        <v>46</v>
      </c>
      <c r="C32" s="14" t="n">
        <v>80</v>
      </c>
      <c r="D32" s="14" t="n">
        <v>26</v>
      </c>
      <c r="E32" s="14" t="n">
        <v>21</v>
      </c>
      <c r="F32" s="14" t="n">
        <v>7</v>
      </c>
      <c r="G32" s="15" t="n">
        <v>20376</v>
      </c>
      <c r="H32" s="16" t="str">
        <f aca="false">INDEX(Inputs!$C$12:$C$16,MATCH(B32,Inputs!$B$12:$B$16,0))</f>
        <v>Velocity (1-50)</v>
      </c>
      <c r="I32" s="7" t="n">
        <f aca="false">IF(AND(A32&gt;=Inputs!$C$5,A32&lt;=Inputs!$C$6),1,0)</f>
        <v>0</v>
      </c>
      <c r="J32" s="7" t="n">
        <f aca="false">IF(AND(A32&gt;=Inputs!$C$7,A32&lt;=Inputs!$C$8),1,0)</f>
        <v>1</v>
      </c>
    </row>
    <row r="33" customFormat="false" ht="15" hidden="false" customHeight="false" outlineLevel="0" collapsed="false">
      <c r="A33" s="13" t="n">
        <v>44409</v>
      </c>
      <c r="B33" s="10" t="s">
        <v>50</v>
      </c>
      <c r="C33" s="14" t="n">
        <v>273</v>
      </c>
      <c r="D33" s="14" t="n">
        <v>98</v>
      </c>
      <c r="E33" s="14" t="n">
        <v>78</v>
      </c>
      <c r="F33" s="14" t="n">
        <v>26</v>
      </c>
      <c r="G33" s="15" t="n">
        <v>108500</v>
      </c>
      <c r="H33" s="16" t="str">
        <f aca="false">INDEX(Inputs!$C$12:$C$16,MATCH(B33,Inputs!$B$12:$B$16,0))</f>
        <v>Velocity (1-50)</v>
      </c>
      <c r="I33" s="7" t="n">
        <f aca="false">IF(AND(A33&gt;=Inputs!$C$5,A33&lt;=Inputs!$C$6),1,0)</f>
        <v>0</v>
      </c>
      <c r="J33" s="7" t="n">
        <f aca="false">IF(AND(A33&gt;=Inputs!$C$7,A33&lt;=Inputs!$C$8),1,0)</f>
        <v>1</v>
      </c>
    </row>
    <row r="34" customFormat="false" ht="15" hidden="false" customHeight="false" outlineLevel="0" collapsed="false">
      <c r="A34" s="13" t="n">
        <v>44409</v>
      </c>
      <c r="B34" s="10" t="s">
        <v>51</v>
      </c>
      <c r="C34" s="14" t="n">
        <v>305</v>
      </c>
      <c r="D34" s="14" t="n">
        <v>107</v>
      </c>
      <c r="E34" s="14" t="n">
        <v>84</v>
      </c>
      <c r="F34" s="14" t="n">
        <v>29</v>
      </c>
      <c r="G34" s="15" t="n">
        <v>280126</v>
      </c>
      <c r="H34" s="16" t="str">
        <f aca="false">INDEX(Inputs!$C$12:$C$16,MATCH(B34,Inputs!$B$12:$B$16,0))</f>
        <v>Emerging MM (51-100)</v>
      </c>
      <c r="I34" s="7" t="n">
        <f aca="false">IF(AND(A34&gt;=Inputs!$C$5,A34&lt;=Inputs!$C$6),1,0)</f>
        <v>0</v>
      </c>
      <c r="J34" s="7" t="n">
        <f aca="false">IF(AND(A34&gt;=Inputs!$C$7,A34&lt;=Inputs!$C$8),1,0)</f>
        <v>1</v>
      </c>
    </row>
    <row r="35" customFormat="false" ht="15" hidden="false" customHeight="false" outlineLevel="0" collapsed="false">
      <c r="A35" s="13" t="n">
        <v>44409</v>
      </c>
      <c r="B35" s="10" t="s">
        <v>54</v>
      </c>
      <c r="C35" s="14" t="n">
        <v>658</v>
      </c>
      <c r="D35" s="14" t="n">
        <v>171</v>
      </c>
      <c r="E35" s="14" t="n">
        <v>121</v>
      </c>
      <c r="F35" s="14" t="n">
        <v>32</v>
      </c>
      <c r="G35" s="15" t="n">
        <v>396697</v>
      </c>
      <c r="H35" s="16" t="str">
        <f aca="false">INDEX(Inputs!$C$12:$C$16,MATCH(B35,Inputs!$B$12:$B$16,0))</f>
        <v>Core MM (101-500)</v>
      </c>
      <c r="I35" s="7" t="n">
        <f aca="false">IF(AND(A35&gt;=Inputs!$C$5,A35&lt;=Inputs!$C$6),1,0)</f>
        <v>0</v>
      </c>
      <c r="J35" s="7" t="n">
        <f aca="false">IF(AND(A35&gt;=Inputs!$C$7,A35&lt;=Inputs!$C$8),1,0)</f>
        <v>1</v>
      </c>
    </row>
    <row r="36" customFormat="false" ht="15" hidden="false" customHeight="false" outlineLevel="0" collapsed="false">
      <c r="A36" s="13" t="n">
        <v>44409</v>
      </c>
      <c r="B36" s="10" t="s">
        <v>56</v>
      </c>
      <c r="C36" s="14" t="n">
        <v>289</v>
      </c>
      <c r="D36" s="14" t="n">
        <v>52</v>
      </c>
      <c r="E36" s="14" t="n">
        <v>34</v>
      </c>
      <c r="F36" s="14" t="n">
        <v>6</v>
      </c>
      <c r="G36" s="15" t="n">
        <v>137742</v>
      </c>
      <c r="H36" s="16" t="str">
        <f aca="false">INDEX(Inputs!$C$12:$C$16,MATCH(B36,Inputs!$B$12:$B$16,0))</f>
        <v>Enterprise (501+)</v>
      </c>
      <c r="I36" s="7" t="n">
        <f aca="false">IF(AND(A36&gt;=Inputs!$C$5,A36&lt;=Inputs!$C$6),1,0)</f>
        <v>0</v>
      </c>
      <c r="J36" s="7" t="n">
        <f aca="false">IF(AND(A36&gt;=Inputs!$C$7,A36&lt;=Inputs!$C$8),1,0)</f>
        <v>1</v>
      </c>
    </row>
    <row r="37" customFormat="false" ht="15" hidden="false" customHeight="false" outlineLevel="0" collapsed="false">
      <c r="A37" s="13" t="n">
        <v>44440</v>
      </c>
      <c r="B37" s="10" t="s">
        <v>46</v>
      </c>
      <c r="C37" s="14" t="n">
        <v>99</v>
      </c>
      <c r="D37" s="14" t="n">
        <v>35</v>
      </c>
      <c r="E37" s="14" t="n">
        <v>27</v>
      </c>
      <c r="F37" s="14" t="n">
        <v>9</v>
      </c>
      <c r="G37" s="15" t="n">
        <v>26452</v>
      </c>
      <c r="H37" s="16" t="str">
        <f aca="false">INDEX(Inputs!$C$12:$C$16,MATCH(B37,Inputs!$B$12:$B$16,0))</f>
        <v>Velocity (1-50)</v>
      </c>
      <c r="I37" s="7" t="n">
        <f aca="false">IF(AND(A37&gt;=Inputs!$C$5,A37&lt;=Inputs!$C$6),1,0)</f>
        <v>0</v>
      </c>
      <c r="J37" s="7" t="n">
        <f aca="false">IF(AND(A37&gt;=Inputs!$C$7,A37&lt;=Inputs!$C$8),1,0)</f>
        <v>1</v>
      </c>
    </row>
    <row r="38" customFormat="false" ht="15" hidden="false" customHeight="false" outlineLevel="0" collapsed="false">
      <c r="A38" s="13" t="n">
        <v>44440</v>
      </c>
      <c r="B38" s="10" t="s">
        <v>50</v>
      </c>
      <c r="C38" s="14" t="n">
        <v>248</v>
      </c>
      <c r="D38" s="14" t="n">
        <v>92</v>
      </c>
      <c r="E38" s="14" t="n">
        <v>72</v>
      </c>
      <c r="F38" s="14" t="n">
        <v>23</v>
      </c>
      <c r="G38" s="15" t="n">
        <v>94464</v>
      </c>
      <c r="H38" s="16" t="str">
        <f aca="false">INDEX(Inputs!$C$12:$C$16,MATCH(B38,Inputs!$B$12:$B$16,0))</f>
        <v>Velocity (1-50)</v>
      </c>
      <c r="I38" s="7" t="n">
        <f aca="false">IF(AND(A38&gt;=Inputs!$C$5,A38&lt;=Inputs!$C$6),1,0)</f>
        <v>0</v>
      </c>
      <c r="J38" s="7" t="n">
        <f aca="false">IF(AND(A38&gt;=Inputs!$C$7,A38&lt;=Inputs!$C$8),1,0)</f>
        <v>1</v>
      </c>
    </row>
    <row r="39" customFormat="false" ht="15" hidden="false" customHeight="false" outlineLevel="0" collapsed="false">
      <c r="A39" s="13" t="n">
        <v>44440</v>
      </c>
      <c r="B39" s="10" t="s">
        <v>51</v>
      </c>
      <c r="C39" s="14" t="n">
        <v>281</v>
      </c>
      <c r="D39" s="14" t="n">
        <v>101</v>
      </c>
      <c r="E39" s="14" t="n">
        <v>80</v>
      </c>
      <c r="F39" s="14" t="n">
        <v>26</v>
      </c>
      <c r="G39" s="15" t="n">
        <v>237526</v>
      </c>
      <c r="H39" s="16" t="str">
        <f aca="false">INDEX(Inputs!$C$12:$C$16,MATCH(B39,Inputs!$B$12:$B$16,0))</f>
        <v>Emerging MM (51-100)</v>
      </c>
      <c r="I39" s="7" t="n">
        <f aca="false">IF(AND(A39&gt;=Inputs!$C$5,A39&lt;=Inputs!$C$6),1,0)</f>
        <v>0</v>
      </c>
      <c r="J39" s="7" t="n">
        <f aca="false">IF(AND(A39&gt;=Inputs!$C$7,A39&lt;=Inputs!$C$8),1,0)</f>
        <v>1</v>
      </c>
    </row>
    <row r="40" customFormat="false" ht="15" hidden="false" customHeight="false" outlineLevel="0" collapsed="false">
      <c r="A40" s="13" t="n">
        <v>44440</v>
      </c>
      <c r="B40" s="10" t="s">
        <v>54</v>
      </c>
      <c r="C40" s="14" t="n">
        <v>677</v>
      </c>
      <c r="D40" s="14" t="n">
        <v>169</v>
      </c>
      <c r="E40" s="14" t="n">
        <v>118</v>
      </c>
      <c r="F40" s="14" t="n">
        <v>30</v>
      </c>
      <c r="G40" s="15" t="n">
        <v>387332</v>
      </c>
      <c r="H40" s="16" t="str">
        <f aca="false">INDEX(Inputs!$C$12:$C$16,MATCH(B40,Inputs!$B$12:$B$16,0))</f>
        <v>Core MM (101-500)</v>
      </c>
      <c r="I40" s="7" t="n">
        <f aca="false">IF(AND(A40&gt;=Inputs!$C$5,A40&lt;=Inputs!$C$6),1,0)</f>
        <v>0</v>
      </c>
      <c r="J40" s="7" t="n">
        <f aca="false">IF(AND(A40&gt;=Inputs!$C$7,A40&lt;=Inputs!$C$8),1,0)</f>
        <v>1</v>
      </c>
    </row>
    <row r="41" customFormat="false" ht="15" hidden="false" customHeight="false" outlineLevel="0" collapsed="false">
      <c r="A41" s="13" t="n">
        <v>44440</v>
      </c>
      <c r="B41" s="10" t="s">
        <v>56</v>
      </c>
      <c r="C41" s="14" t="n">
        <v>347</v>
      </c>
      <c r="D41" s="14" t="n">
        <v>69</v>
      </c>
      <c r="E41" s="14" t="n">
        <v>45</v>
      </c>
      <c r="F41" s="14" t="n">
        <v>9</v>
      </c>
      <c r="G41" s="15" t="n">
        <v>209057</v>
      </c>
      <c r="H41" s="16" t="str">
        <f aca="false">INDEX(Inputs!$C$12:$C$16,MATCH(B41,Inputs!$B$12:$B$16,0))</f>
        <v>Enterprise (501+)</v>
      </c>
      <c r="I41" s="7" t="n">
        <f aca="false">IF(AND(A41&gt;=Inputs!$C$5,A41&lt;=Inputs!$C$6),1,0)</f>
        <v>0</v>
      </c>
      <c r="J41" s="7" t="n">
        <f aca="false">IF(AND(A41&gt;=Inputs!$C$7,A41&lt;=Inputs!$C$8),1,0)</f>
        <v>1</v>
      </c>
    </row>
    <row r="42" customFormat="false" ht="15" hidden="false" customHeight="false" outlineLevel="0" collapsed="false">
      <c r="A42" s="13" t="n">
        <v>44470</v>
      </c>
      <c r="B42" s="10" t="s">
        <v>46</v>
      </c>
      <c r="C42" s="14" t="n">
        <v>94</v>
      </c>
      <c r="D42" s="14" t="n">
        <v>35</v>
      </c>
      <c r="E42" s="14" t="n">
        <v>28</v>
      </c>
      <c r="F42" s="14" t="n">
        <v>10</v>
      </c>
      <c r="G42" s="15" t="n">
        <v>30476</v>
      </c>
      <c r="H42" s="16" t="str">
        <f aca="false">INDEX(Inputs!$C$12:$C$16,MATCH(B42,Inputs!$B$12:$B$16,0))</f>
        <v>Velocity (1-50)</v>
      </c>
      <c r="I42" s="7" t="n">
        <f aca="false">IF(AND(A42&gt;=Inputs!$C$5,A42&lt;=Inputs!$C$6),1,0)</f>
        <v>0</v>
      </c>
      <c r="J42" s="7" t="n">
        <f aca="false">IF(AND(A42&gt;=Inputs!$C$7,A42&lt;=Inputs!$C$8),1,0)</f>
        <v>1</v>
      </c>
    </row>
    <row r="43" customFormat="false" ht="15" hidden="false" customHeight="false" outlineLevel="0" collapsed="false">
      <c r="A43" s="13" t="n">
        <v>44470</v>
      </c>
      <c r="B43" s="10" t="s">
        <v>50</v>
      </c>
      <c r="C43" s="14" t="n">
        <v>263</v>
      </c>
      <c r="D43" s="14" t="n">
        <v>95</v>
      </c>
      <c r="E43" s="14" t="n">
        <v>77</v>
      </c>
      <c r="F43" s="14" t="n">
        <v>28</v>
      </c>
      <c r="G43" s="15" t="n">
        <v>109791</v>
      </c>
      <c r="H43" s="16" t="str">
        <f aca="false">INDEX(Inputs!$C$12:$C$16,MATCH(B43,Inputs!$B$12:$B$16,0))</f>
        <v>Velocity (1-50)</v>
      </c>
      <c r="I43" s="7" t="n">
        <f aca="false">IF(AND(A43&gt;=Inputs!$C$5,A43&lt;=Inputs!$C$6),1,0)</f>
        <v>0</v>
      </c>
      <c r="J43" s="7" t="n">
        <f aca="false">IF(AND(A43&gt;=Inputs!$C$7,A43&lt;=Inputs!$C$8),1,0)</f>
        <v>1</v>
      </c>
    </row>
    <row r="44" customFormat="false" ht="15" hidden="false" customHeight="false" outlineLevel="0" collapsed="false">
      <c r="A44" s="13" t="n">
        <v>44470</v>
      </c>
      <c r="B44" s="10" t="s">
        <v>51</v>
      </c>
      <c r="C44" s="14" t="n">
        <v>338</v>
      </c>
      <c r="D44" s="14" t="n">
        <v>118</v>
      </c>
      <c r="E44" s="14" t="n">
        <v>95</v>
      </c>
      <c r="F44" s="14" t="n">
        <v>33</v>
      </c>
      <c r="G44" s="15" t="n">
        <v>318256</v>
      </c>
      <c r="H44" s="16" t="str">
        <f aca="false">INDEX(Inputs!$C$12:$C$16,MATCH(B44,Inputs!$B$12:$B$16,0))</f>
        <v>Emerging MM (51-100)</v>
      </c>
      <c r="I44" s="7" t="n">
        <f aca="false">IF(AND(A44&gt;=Inputs!$C$5,A44&lt;=Inputs!$C$6),1,0)</f>
        <v>0</v>
      </c>
      <c r="J44" s="7" t="n">
        <f aca="false">IF(AND(A44&gt;=Inputs!$C$7,A44&lt;=Inputs!$C$8),1,0)</f>
        <v>1</v>
      </c>
    </row>
    <row r="45" customFormat="false" ht="15" hidden="false" customHeight="false" outlineLevel="0" collapsed="false">
      <c r="A45" s="13" t="n">
        <v>44470</v>
      </c>
      <c r="B45" s="10" t="s">
        <v>54</v>
      </c>
      <c r="C45" s="14" t="n">
        <v>788</v>
      </c>
      <c r="D45" s="14" t="n">
        <v>205</v>
      </c>
      <c r="E45" s="14" t="n">
        <v>139</v>
      </c>
      <c r="F45" s="14" t="n">
        <v>36</v>
      </c>
      <c r="G45" s="15" t="n">
        <v>489690</v>
      </c>
      <c r="H45" s="16" t="str">
        <f aca="false">INDEX(Inputs!$C$12:$C$16,MATCH(B45,Inputs!$B$12:$B$16,0))</f>
        <v>Core MM (101-500)</v>
      </c>
      <c r="I45" s="7" t="n">
        <f aca="false">IF(AND(A45&gt;=Inputs!$C$5,A45&lt;=Inputs!$C$6),1,0)</f>
        <v>0</v>
      </c>
      <c r="J45" s="7" t="n">
        <f aca="false">IF(AND(A45&gt;=Inputs!$C$7,A45&lt;=Inputs!$C$8),1,0)</f>
        <v>1</v>
      </c>
    </row>
    <row r="46" customFormat="false" ht="15" hidden="false" customHeight="false" outlineLevel="0" collapsed="false">
      <c r="A46" s="13" t="n">
        <v>44470</v>
      </c>
      <c r="B46" s="10" t="s">
        <v>56</v>
      </c>
      <c r="C46" s="14" t="n">
        <v>394</v>
      </c>
      <c r="D46" s="14" t="n">
        <v>75</v>
      </c>
      <c r="E46" s="14" t="n">
        <v>50</v>
      </c>
      <c r="F46" s="14" t="n">
        <v>10</v>
      </c>
      <c r="G46" s="15" t="n">
        <v>231792</v>
      </c>
      <c r="H46" s="16" t="str">
        <f aca="false">INDEX(Inputs!$C$12:$C$16,MATCH(B46,Inputs!$B$12:$B$16,0))</f>
        <v>Enterprise (501+)</v>
      </c>
      <c r="I46" s="7" t="n">
        <f aca="false">IF(AND(A46&gt;=Inputs!$C$5,A46&lt;=Inputs!$C$6),1,0)</f>
        <v>0</v>
      </c>
      <c r="J46" s="7" t="n">
        <f aca="false">IF(AND(A46&gt;=Inputs!$C$7,A46&lt;=Inputs!$C$8),1,0)</f>
        <v>1</v>
      </c>
    </row>
    <row r="47" customFormat="false" ht="15" hidden="false" customHeight="false" outlineLevel="0" collapsed="false">
      <c r="A47" s="13" t="n">
        <v>44501</v>
      </c>
      <c r="B47" s="10" t="s">
        <v>46</v>
      </c>
      <c r="C47" s="14" t="n">
        <v>60</v>
      </c>
      <c r="D47" s="14" t="n">
        <v>17</v>
      </c>
      <c r="E47" s="14" t="n">
        <v>14</v>
      </c>
      <c r="F47" s="14" t="n">
        <v>4</v>
      </c>
      <c r="G47" s="15" t="n">
        <v>12323</v>
      </c>
      <c r="H47" s="16" t="str">
        <f aca="false">INDEX(Inputs!$C$12:$C$16,MATCH(B47,Inputs!$B$12:$B$16,0))</f>
        <v>Velocity (1-50)</v>
      </c>
      <c r="I47" s="7" t="n">
        <f aca="false">IF(AND(A47&gt;=Inputs!$C$5,A47&lt;=Inputs!$C$6),1,0)</f>
        <v>0</v>
      </c>
      <c r="J47" s="7" t="n">
        <f aca="false">IF(AND(A47&gt;=Inputs!$C$7,A47&lt;=Inputs!$C$8),1,0)</f>
        <v>0</v>
      </c>
    </row>
    <row r="48" customFormat="false" ht="15" hidden="false" customHeight="false" outlineLevel="0" collapsed="false">
      <c r="A48" s="13" t="n">
        <v>44501</v>
      </c>
      <c r="B48" s="10" t="s">
        <v>50</v>
      </c>
      <c r="C48" s="14" t="n">
        <v>130</v>
      </c>
      <c r="D48" s="14" t="n">
        <v>38</v>
      </c>
      <c r="E48" s="14" t="n">
        <v>30</v>
      </c>
      <c r="F48" s="14" t="n">
        <v>9</v>
      </c>
      <c r="G48" s="15" t="n">
        <v>33995</v>
      </c>
      <c r="H48" s="16" t="str">
        <f aca="false">INDEX(Inputs!$C$12:$C$16,MATCH(B48,Inputs!$B$12:$B$16,0))</f>
        <v>Velocity (1-50)</v>
      </c>
      <c r="I48" s="7" t="n">
        <f aca="false">IF(AND(A48&gt;=Inputs!$C$5,A48&lt;=Inputs!$C$6),1,0)</f>
        <v>0</v>
      </c>
      <c r="J48" s="7" t="n">
        <f aca="false">IF(AND(A48&gt;=Inputs!$C$7,A48&lt;=Inputs!$C$8),1,0)</f>
        <v>0</v>
      </c>
    </row>
    <row r="49" customFormat="false" ht="15" hidden="false" customHeight="false" outlineLevel="0" collapsed="false">
      <c r="A49" s="13" t="n">
        <v>44501</v>
      </c>
      <c r="B49" s="10" t="s">
        <v>51</v>
      </c>
      <c r="C49" s="14" t="n">
        <v>180</v>
      </c>
      <c r="D49" s="14" t="n">
        <v>51</v>
      </c>
      <c r="E49" s="14" t="n">
        <v>41</v>
      </c>
      <c r="F49" s="14" t="n">
        <v>11</v>
      </c>
      <c r="G49" s="15" t="n">
        <v>109015</v>
      </c>
      <c r="H49" s="16" t="str">
        <f aca="false">INDEX(Inputs!$C$12:$C$16,MATCH(B49,Inputs!$B$12:$B$16,0))</f>
        <v>Emerging MM (51-100)</v>
      </c>
      <c r="I49" s="7" t="n">
        <f aca="false">IF(AND(A49&gt;=Inputs!$C$5,A49&lt;=Inputs!$C$6),1,0)</f>
        <v>0</v>
      </c>
      <c r="J49" s="7" t="n">
        <f aca="false">IF(AND(A49&gt;=Inputs!$C$7,A49&lt;=Inputs!$C$8),1,0)</f>
        <v>0</v>
      </c>
    </row>
    <row r="50" customFormat="false" ht="15" hidden="false" customHeight="false" outlineLevel="0" collapsed="false">
      <c r="A50" s="13" t="n">
        <v>44501</v>
      </c>
      <c r="B50" s="10" t="s">
        <v>54</v>
      </c>
      <c r="C50" s="14" t="n">
        <v>401</v>
      </c>
      <c r="D50" s="14" t="n">
        <v>88</v>
      </c>
      <c r="E50" s="14" t="n">
        <v>60</v>
      </c>
      <c r="F50" s="14" t="n">
        <v>13</v>
      </c>
      <c r="G50" s="15" t="n">
        <v>184900</v>
      </c>
      <c r="H50" s="16" t="str">
        <f aca="false">INDEX(Inputs!$C$12:$C$16,MATCH(B50,Inputs!$B$12:$B$16,0))</f>
        <v>Core MM (101-500)</v>
      </c>
      <c r="I50" s="7" t="n">
        <f aca="false">IF(AND(A50&gt;=Inputs!$C$5,A50&lt;=Inputs!$C$6),1,0)</f>
        <v>0</v>
      </c>
      <c r="J50" s="7" t="n">
        <f aca="false">IF(AND(A50&gt;=Inputs!$C$7,A50&lt;=Inputs!$C$8),1,0)</f>
        <v>0</v>
      </c>
    </row>
    <row r="51" customFormat="false" ht="15" hidden="false" customHeight="false" outlineLevel="0" collapsed="false">
      <c r="A51" s="13" t="n">
        <v>44501</v>
      </c>
      <c r="B51" s="10" t="s">
        <v>56</v>
      </c>
      <c r="C51" s="14" t="n">
        <v>230</v>
      </c>
      <c r="D51" s="14" t="n">
        <v>35</v>
      </c>
      <c r="E51" s="14" t="n">
        <v>23</v>
      </c>
      <c r="F51" s="14" t="n">
        <v>4</v>
      </c>
      <c r="G51" s="15" t="n">
        <v>89558</v>
      </c>
      <c r="H51" s="16" t="str">
        <f aca="false">INDEX(Inputs!$C$12:$C$16,MATCH(B51,Inputs!$B$12:$B$16,0))</f>
        <v>Enterprise (501+)</v>
      </c>
      <c r="I51" s="7" t="n">
        <f aca="false">IF(AND(A51&gt;=Inputs!$C$5,A51&lt;=Inputs!$C$6),1,0)</f>
        <v>0</v>
      </c>
      <c r="J51" s="7" t="n">
        <f aca="false">IF(AND(A51&gt;=Inputs!$C$7,A51&lt;=Inputs!$C$8),1,0)</f>
        <v>0</v>
      </c>
    </row>
    <row r="52" customFormat="false" ht="15" hidden="false" customHeight="false" outlineLevel="0" collapsed="false">
      <c r="A52" s="13" t="n">
        <v>44531</v>
      </c>
      <c r="B52" s="10" t="s">
        <v>46</v>
      </c>
      <c r="C52" s="14" t="n">
        <v>61</v>
      </c>
      <c r="D52" s="14" t="n">
        <v>16</v>
      </c>
      <c r="E52" s="14" t="n">
        <v>12</v>
      </c>
      <c r="F52" s="14" t="n">
        <v>3</v>
      </c>
      <c r="G52" s="15" t="n">
        <v>9674</v>
      </c>
      <c r="H52" s="16" t="str">
        <f aca="false">INDEX(Inputs!$C$12:$C$16,MATCH(B52,Inputs!$B$12:$B$16,0))</f>
        <v>Velocity (1-50)</v>
      </c>
      <c r="I52" s="7" t="n">
        <f aca="false">IF(AND(A52&gt;=Inputs!$C$5,A52&lt;=Inputs!$C$6),1,0)</f>
        <v>0</v>
      </c>
      <c r="J52" s="7" t="n">
        <f aca="false">IF(AND(A52&gt;=Inputs!$C$7,A52&lt;=Inputs!$C$8),1,0)</f>
        <v>0</v>
      </c>
    </row>
    <row r="53" customFormat="false" ht="15" hidden="false" customHeight="false" outlineLevel="0" collapsed="false">
      <c r="A53" s="13" t="n">
        <v>44531</v>
      </c>
      <c r="B53" s="10" t="s">
        <v>50</v>
      </c>
      <c r="C53" s="14" t="n">
        <v>142</v>
      </c>
      <c r="D53" s="14" t="n">
        <v>36</v>
      </c>
      <c r="E53" s="14" t="n">
        <v>28</v>
      </c>
      <c r="F53" s="14" t="n">
        <v>7</v>
      </c>
      <c r="G53" s="15" t="n">
        <v>27830</v>
      </c>
      <c r="H53" s="16" t="str">
        <f aca="false">INDEX(Inputs!$C$12:$C$16,MATCH(B53,Inputs!$B$12:$B$16,0))</f>
        <v>Velocity (1-50)</v>
      </c>
      <c r="I53" s="7" t="n">
        <f aca="false">IF(AND(A53&gt;=Inputs!$C$5,A53&lt;=Inputs!$C$6),1,0)</f>
        <v>0</v>
      </c>
      <c r="J53" s="7" t="n">
        <f aca="false">IF(AND(A53&gt;=Inputs!$C$7,A53&lt;=Inputs!$C$8),1,0)</f>
        <v>0</v>
      </c>
    </row>
    <row r="54" customFormat="false" ht="15" hidden="false" customHeight="false" outlineLevel="0" collapsed="false">
      <c r="A54" s="13" t="n">
        <v>44531</v>
      </c>
      <c r="B54" s="10" t="s">
        <v>51</v>
      </c>
      <c r="C54" s="14" t="n">
        <v>193</v>
      </c>
      <c r="D54" s="14" t="n">
        <v>46</v>
      </c>
      <c r="E54" s="14" t="n">
        <v>37</v>
      </c>
      <c r="F54" s="14" t="n">
        <v>9</v>
      </c>
      <c r="G54" s="15" t="n">
        <v>84236</v>
      </c>
      <c r="H54" s="16" t="str">
        <f aca="false">INDEX(Inputs!$C$12:$C$16,MATCH(B54,Inputs!$B$12:$B$16,0))</f>
        <v>Emerging MM (51-100)</v>
      </c>
      <c r="I54" s="7" t="n">
        <f aca="false">IF(AND(A54&gt;=Inputs!$C$5,A54&lt;=Inputs!$C$6),1,0)</f>
        <v>0</v>
      </c>
      <c r="J54" s="7" t="n">
        <f aca="false">IF(AND(A54&gt;=Inputs!$C$7,A54&lt;=Inputs!$C$8),1,0)</f>
        <v>0</v>
      </c>
    </row>
    <row r="55" customFormat="false" ht="15" hidden="false" customHeight="false" outlineLevel="0" collapsed="false">
      <c r="A55" s="13" t="n">
        <v>44531</v>
      </c>
      <c r="B55" s="10" t="s">
        <v>54</v>
      </c>
      <c r="C55" s="14" t="n">
        <v>396</v>
      </c>
      <c r="D55" s="14" t="n">
        <v>83</v>
      </c>
      <c r="E55" s="14" t="n">
        <v>57</v>
      </c>
      <c r="F55" s="14" t="n">
        <v>12</v>
      </c>
      <c r="G55" s="15" t="n">
        <v>167366</v>
      </c>
      <c r="H55" s="16" t="str">
        <f aca="false">INDEX(Inputs!$C$12:$C$16,MATCH(B55,Inputs!$B$12:$B$16,0))</f>
        <v>Core MM (101-500)</v>
      </c>
      <c r="I55" s="7" t="n">
        <f aca="false">IF(AND(A55&gt;=Inputs!$C$5,A55&lt;=Inputs!$C$6),1,0)</f>
        <v>0</v>
      </c>
      <c r="J55" s="7" t="n">
        <f aca="false">IF(AND(A55&gt;=Inputs!$C$7,A55&lt;=Inputs!$C$8),1,0)</f>
        <v>0</v>
      </c>
    </row>
    <row r="56" customFormat="false" ht="15" hidden="false" customHeight="false" outlineLevel="0" collapsed="false">
      <c r="A56" s="13" t="n">
        <v>44531</v>
      </c>
      <c r="B56" s="10" t="s">
        <v>56</v>
      </c>
      <c r="C56" s="14" t="n">
        <v>223</v>
      </c>
      <c r="D56" s="14" t="n">
        <v>31</v>
      </c>
      <c r="E56" s="14" t="n">
        <v>20</v>
      </c>
      <c r="F56" s="14" t="n">
        <v>3</v>
      </c>
      <c r="G56" s="15" t="n">
        <v>86537</v>
      </c>
      <c r="H56" s="16" t="str">
        <f aca="false">INDEX(Inputs!$C$12:$C$16,MATCH(B56,Inputs!$B$12:$B$16,0))</f>
        <v>Enterprise (501+)</v>
      </c>
      <c r="I56" s="7" t="n">
        <f aca="false">IF(AND(A56&gt;=Inputs!$C$5,A56&lt;=Inputs!$C$6),1,0)</f>
        <v>0</v>
      </c>
      <c r="J56" s="7" t="n">
        <f aca="false">IF(AND(A56&gt;=Inputs!$C$7,A56&lt;=Inputs!$C$8),1,0)</f>
        <v>0</v>
      </c>
    </row>
    <row r="57" customFormat="false" ht="15" hidden="false" customHeight="false" outlineLevel="0" collapsed="false">
      <c r="A57" s="13" t="n">
        <v>44562</v>
      </c>
      <c r="B57" s="10" t="s">
        <v>46</v>
      </c>
      <c r="C57" s="14" t="n">
        <v>96</v>
      </c>
      <c r="D57" s="14" t="n">
        <v>36</v>
      </c>
      <c r="E57" s="14" t="n">
        <v>29</v>
      </c>
      <c r="F57" s="14" t="n">
        <v>10</v>
      </c>
      <c r="G57" s="15" t="n">
        <v>30708</v>
      </c>
      <c r="H57" s="16" t="str">
        <f aca="false">INDEX(Inputs!$C$12:$C$16,MATCH(B57,Inputs!$B$12:$B$16,0))</f>
        <v>Velocity (1-50)</v>
      </c>
      <c r="I57" s="7" t="n">
        <f aca="false">IF(AND(A57&gt;=Inputs!$C$5,A57&lt;=Inputs!$C$6),1,0)</f>
        <v>0</v>
      </c>
      <c r="J57" s="7" t="n">
        <f aca="false">IF(AND(A57&gt;=Inputs!$C$7,A57&lt;=Inputs!$C$8),1,0)</f>
        <v>0</v>
      </c>
    </row>
    <row r="58" customFormat="false" ht="15" hidden="false" customHeight="false" outlineLevel="0" collapsed="false">
      <c r="A58" s="13" t="n">
        <v>44562</v>
      </c>
      <c r="B58" s="10" t="s">
        <v>50</v>
      </c>
      <c r="C58" s="14" t="n">
        <v>249</v>
      </c>
      <c r="D58" s="14" t="n">
        <v>92</v>
      </c>
      <c r="E58" s="14" t="n">
        <v>75</v>
      </c>
      <c r="F58" s="14" t="n">
        <v>28</v>
      </c>
      <c r="G58" s="15" t="n">
        <v>110092</v>
      </c>
      <c r="H58" s="16" t="str">
        <f aca="false">INDEX(Inputs!$C$12:$C$16,MATCH(B58,Inputs!$B$12:$B$16,0))</f>
        <v>Velocity (1-50)</v>
      </c>
      <c r="I58" s="7" t="n">
        <f aca="false">IF(AND(A58&gt;=Inputs!$C$5,A58&lt;=Inputs!$C$6),1,0)</f>
        <v>0</v>
      </c>
      <c r="J58" s="7" t="n">
        <f aca="false">IF(AND(A58&gt;=Inputs!$C$7,A58&lt;=Inputs!$C$8),1,0)</f>
        <v>0</v>
      </c>
    </row>
    <row r="59" customFormat="false" ht="15" hidden="false" customHeight="false" outlineLevel="0" collapsed="false">
      <c r="A59" s="13" t="n">
        <v>44562</v>
      </c>
      <c r="B59" s="10" t="s">
        <v>51</v>
      </c>
      <c r="C59" s="14" t="n">
        <v>383</v>
      </c>
      <c r="D59" s="14" t="n">
        <v>130</v>
      </c>
      <c r="E59" s="14" t="n">
        <v>107</v>
      </c>
      <c r="F59" s="14" t="n">
        <v>36</v>
      </c>
      <c r="G59" s="15" t="n">
        <v>353215</v>
      </c>
      <c r="H59" s="16" t="str">
        <f aca="false">INDEX(Inputs!$C$12:$C$16,MATCH(B59,Inputs!$B$12:$B$16,0))</f>
        <v>Emerging MM (51-100)</v>
      </c>
      <c r="I59" s="7" t="n">
        <f aca="false">IF(AND(A59&gt;=Inputs!$C$5,A59&lt;=Inputs!$C$6),1,0)</f>
        <v>0</v>
      </c>
      <c r="J59" s="7" t="n">
        <f aca="false">IF(AND(A59&gt;=Inputs!$C$7,A59&lt;=Inputs!$C$8),1,0)</f>
        <v>0</v>
      </c>
    </row>
    <row r="60" customFormat="false" ht="15" hidden="false" customHeight="false" outlineLevel="0" collapsed="false">
      <c r="A60" s="13" t="n">
        <v>44562</v>
      </c>
      <c r="B60" s="10" t="s">
        <v>54</v>
      </c>
      <c r="C60" s="14" t="n">
        <v>785</v>
      </c>
      <c r="D60" s="14" t="n">
        <v>196</v>
      </c>
      <c r="E60" s="14" t="n">
        <v>139</v>
      </c>
      <c r="F60" s="14" t="n">
        <v>35</v>
      </c>
      <c r="G60" s="15" t="n">
        <v>505265</v>
      </c>
      <c r="H60" s="16" t="str">
        <f aca="false">INDEX(Inputs!$C$12:$C$16,MATCH(B60,Inputs!$B$12:$B$16,0))</f>
        <v>Core MM (101-500)</v>
      </c>
      <c r="I60" s="7" t="n">
        <f aca="false">IF(AND(A60&gt;=Inputs!$C$5,A60&lt;=Inputs!$C$6),1,0)</f>
        <v>0</v>
      </c>
      <c r="J60" s="7" t="n">
        <f aca="false">IF(AND(A60&gt;=Inputs!$C$7,A60&lt;=Inputs!$C$8),1,0)</f>
        <v>0</v>
      </c>
    </row>
    <row r="61" customFormat="false" ht="15" hidden="false" customHeight="false" outlineLevel="0" collapsed="false">
      <c r="A61" s="13" t="n">
        <v>44562</v>
      </c>
      <c r="B61" s="10" t="s">
        <v>56</v>
      </c>
      <c r="C61" s="14" t="n">
        <v>402</v>
      </c>
      <c r="D61" s="14" t="n">
        <v>84</v>
      </c>
      <c r="E61" s="14" t="n">
        <v>54</v>
      </c>
      <c r="F61" s="14" t="n">
        <v>11</v>
      </c>
      <c r="G61" s="15" t="n">
        <v>284756</v>
      </c>
      <c r="H61" s="16" t="str">
        <f aca="false">INDEX(Inputs!$C$12:$C$16,MATCH(B61,Inputs!$B$12:$B$16,0))</f>
        <v>Enterprise (501+)</v>
      </c>
      <c r="I61" s="7" t="n">
        <f aca="false">IF(AND(A61&gt;=Inputs!$C$5,A61&lt;=Inputs!$C$6),1,0)</f>
        <v>0</v>
      </c>
      <c r="J61" s="7" t="n">
        <f aca="false">IF(AND(A61&gt;=Inputs!$C$7,A61&lt;=Inputs!$C$8),1,0)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2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5" t="s">
        <v>89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30" hidden="false" customHeight="true" outlineLevel="0" collapsed="false">
      <c r="A5" s="9" t="s">
        <v>44</v>
      </c>
      <c r="B5" s="9" t="s">
        <v>80</v>
      </c>
      <c r="C5" s="9" t="s">
        <v>81</v>
      </c>
      <c r="D5" s="9" t="s">
        <v>90</v>
      </c>
      <c r="E5" s="9" t="s">
        <v>83</v>
      </c>
      <c r="F5" s="9" t="s">
        <v>91</v>
      </c>
      <c r="G5" s="9" t="s">
        <v>92</v>
      </c>
      <c r="H5" s="9" t="s">
        <v>93</v>
      </c>
      <c r="I5" s="9" t="s">
        <v>94</v>
      </c>
      <c r="J5" s="9" t="s">
        <v>95</v>
      </c>
      <c r="K5" s="9" t="s">
        <v>96</v>
      </c>
      <c r="L5" s="9" t="s">
        <v>97</v>
      </c>
      <c r="M5" s="9" t="s">
        <v>98</v>
      </c>
      <c r="N5" s="9" t="s">
        <v>99</v>
      </c>
      <c r="O5" s="9" t="s">
        <v>100</v>
      </c>
    </row>
    <row r="6" customFormat="false" ht="15" hidden="false" customHeight="false" outlineLevel="0" collapsed="false">
      <c r="A6" s="7" t="s">
        <v>47</v>
      </c>
      <c r="B6" s="17" t="n">
        <f aca="false">SUMIFS(Data!$C$2:$C$61,Data!$H$2:$H$61,$A6)</f>
        <v>3709</v>
      </c>
      <c r="C6" s="17" t="n">
        <f aca="false">SUMIFS(Data!$D$2:$D$61,Data!$H$2:$H$61,$A6)</f>
        <v>1373</v>
      </c>
      <c r="D6" s="17" t="n">
        <f aca="false">SUMIFS(Data!$E$2:$E$61,Data!$H$2:$H$61,$A6)</f>
        <v>1096</v>
      </c>
      <c r="E6" s="17" t="n">
        <f aca="false">SUMIFS(Data!$F$2:$F$61,Data!$H$2:$H$61,$A6)</f>
        <v>371</v>
      </c>
      <c r="F6" s="18" t="n">
        <f aca="false">SUMIFS(Data!$G$2:$G$61,Data!$H$2:$H$61,$A6)</f>
        <v>1368049</v>
      </c>
      <c r="G6" s="19" t="n">
        <f aca="false">C6/B6</f>
        <v>0.370180641682394</v>
      </c>
      <c r="H6" s="19" t="n">
        <f aca="false">D6/C6</f>
        <v>0.798252002913328</v>
      </c>
      <c r="I6" s="19" t="n">
        <f aca="false">E6/D6</f>
        <v>0.338503649635037</v>
      </c>
      <c r="J6" s="19" t="n">
        <f aca="false">E6/B6</f>
        <v>0.100026961445133</v>
      </c>
      <c r="K6" s="18" t="n">
        <f aca="false">F6/E6</f>
        <v>3687.46361185984</v>
      </c>
      <c r="L6" s="18" t="n">
        <f aca="false">F6/B6</f>
        <v>368.845780533837</v>
      </c>
      <c r="M6" s="19" t="n">
        <f aca="false">B6/B$10</f>
        <v>0.216243003731343</v>
      </c>
      <c r="N6" s="19" t="n">
        <f aca="false">F6/F$10</f>
        <v>0.136173504312554</v>
      </c>
      <c r="O6" s="20" t="n">
        <f aca="false">C6/E6</f>
        <v>3.70080862533693</v>
      </c>
    </row>
    <row r="7" customFormat="false" ht="15" hidden="false" customHeight="false" outlineLevel="0" collapsed="false">
      <c r="A7" s="7" t="s">
        <v>52</v>
      </c>
      <c r="B7" s="17" t="n">
        <f aca="false">SUMIFS(Data!$C$2:$C$61,Data!$H$2:$H$61,$A7)</f>
        <v>3246</v>
      </c>
      <c r="C7" s="17" t="n">
        <f aca="false">SUMIFS(Data!$D$2:$D$61,Data!$H$2:$H$61,$A7)</f>
        <v>1163</v>
      </c>
      <c r="D7" s="17" t="n">
        <f aca="false">SUMIFS(Data!$E$2:$E$61,Data!$H$2:$H$61,$A7)</f>
        <v>926</v>
      </c>
      <c r="E7" s="17" t="n">
        <f aca="false">SUMIFS(Data!$F$2:$F$61,Data!$H$2:$H$61,$A7)</f>
        <v>312</v>
      </c>
      <c r="F7" s="18" t="n">
        <f aca="false">SUMIFS(Data!$G$2:$G$61,Data!$H$2:$H$61,$A7)</f>
        <v>2905721</v>
      </c>
      <c r="G7" s="19" t="n">
        <f aca="false">C7/B7</f>
        <v>0.358287122612446</v>
      </c>
      <c r="H7" s="19" t="n">
        <f aca="false">D7/C7</f>
        <v>0.796216680997421</v>
      </c>
      <c r="I7" s="19" t="n">
        <f aca="false">E7/D7</f>
        <v>0.336933045356372</v>
      </c>
      <c r="J7" s="19" t="n">
        <f aca="false">E7/B7</f>
        <v>0.0961182994454713</v>
      </c>
      <c r="K7" s="18" t="n">
        <f aca="false">F7/E7</f>
        <v>9313.20833333333</v>
      </c>
      <c r="L7" s="18" t="n">
        <f aca="false">F7/B7</f>
        <v>895.169747381393</v>
      </c>
      <c r="M7" s="19" t="n">
        <f aca="false">B7/B$10</f>
        <v>0.189249067164179</v>
      </c>
      <c r="N7" s="19" t="n">
        <f aca="false">F7/F$10</f>
        <v>0.289231022517891</v>
      </c>
      <c r="O7" s="20" t="n">
        <f aca="false">C7/E7</f>
        <v>3.7275641025641</v>
      </c>
    </row>
    <row r="8" customFormat="false" ht="15" hidden="false" customHeight="false" outlineLevel="0" collapsed="false">
      <c r="A8" s="7" t="s">
        <v>55</v>
      </c>
      <c r="B8" s="17" t="n">
        <f aca="false">SUMIFS(Data!$C$2:$C$61,Data!$H$2:$H$61,$A8)</f>
        <v>6962</v>
      </c>
      <c r="C8" s="17" t="n">
        <f aca="false">SUMIFS(Data!$D$2:$D$61,Data!$H$2:$H$61,$A8)</f>
        <v>1807</v>
      </c>
      <c r="D8" s="17" t="n">
        <f aca="false">SUMIFS(Data!$E$2:$E$61,Data!$H$2:$H$61,$A8)</f>
        <v>1264</v>
      </c>
      <c r="E8" s="17" t="n">
        <f aca="false">SUMIFS(Data!$F$2:$F$61,Data!$H$2:$H$61,$A8)</f>
        <v>321</v>
      </c>
      <c r="F8" s="18" t="n">
        <f aca="false">SUMIFS(Data!$G$2:$G$61,Data!$H$2:$H$61,$A8)</f>
        <v>4000078</v>
      </c>
      <c r="G8" s="19" t="n">
        <f aca="false">C8/B8</f>
        <v>0.259551852915829</v>
      </c>
      <c r="H8" s="19" t="n">
        <f aca="false">D8/C8</f>
        <v>0.699501936912009</v>
      </c>
      <c r="I8" s="19" t="n">
        <f aca="false">E8/D8</f>
        <v>0.253955696202532</v>
      </c>
      <c r="J8" s="19" t="n">
        <f aca="false">E8/B8</f>
        <v>0.0461074403906923</v>
      </c>
      <c r="K8" s="18" t="n">
        <f aca="false">F8/E8</f>
        <v>12461.3021806854</v>
      </c>
      <c r="L8" s="18" t="n">
        <f aca="false">F8/B8</f>
        <v>574.558747486355</v>
      </c>
      <c r="M8" s="19" t="n">
        <f aca="false">B8/B$10</f>
        <v>0.405900186567164</v>
      </c>
      <c r="N8" s="19" t="n">
        <f aca="false">F8/F$10</f>
        <v>0.398161643905702</v>
      </c>
      <c r="O8" s="20" t="n">
        <f aca="false">C8/E8</f>
        <v>5.62928348909657</v>
      </c>
    </row>
    <row r="9" customFormat="false" ht="15" hidden="false" customHeight="false" outlineLevel="0" collapsed="false">
      <c r="A9" s="7" t="s">
        <v>57</v>
      </c>
      <c r="B9" s="17" t="n">
        <f aca="false">SUMIFS(Data!$C$2:$C$61,Data!$H$2:$H$61,$A9)</f>
        <v>3235</v>
      </c>
      <c r="C9" s="17" t="n">
        <f aca="false">SUMIFS(Data!$D$2:$D$61,Data!$H$2:$H$61,$A9)</f>
        <v>608</v>
      </c>
      <c r="D9" s="17" t="n">
        <f aca="false">SUMIFS(Data!$E$2:$E$61,Data!$H$2:$H$61,$A9)</f>
        <v>396</v>
      </c>
      <c r="E9" s="17" t="n">
        <f aca="false">SUMIFS(Data!$F$2:$F$61,Data!$H$2:$H$61,$A9)</f>
        <v>78</v>
      </c>
      <c r="F9" s="18" t="n">
        <f aca="false">SUMIFS(Data!$G$2:$G$61,Data!$H$2:$H$61,$A9)</f>
        <v>1772519</v>
      </c>
      <c r="G9" s="19" t="n">
        <f aca="false">C9/B9</f>
        <v>0.187944358578053</v>
      </c>
      <c r="H9" s="19" t="n">
        <f aca="false">D9/C9</f>
        <v>0.651315789473684</v>
      </c>
      <c r="I9" s="19" t="n">
        <f aca="false">E9/D9</f>
        <v>0.196969696969697</v>
      </c>
      <c r="J9" s="19" t="n">
        <f aca="false">E9/B9</f>
        <v>0.0241112828438949</v>
      </c>
      <c r="K9" s="18" t="n">
        <f aca="false">F9/E9</f>
        <v>22724.6025641026</v>
      </c>
      <c r="L9" s="18" t="n">
        <f aca="false">F9/B9</f>
        <v>547.919319938176</v>
      </c>
      <c r="M9" s="19" t="n">
        <f aca="false">B9/B$10</f>
        <v>0.188607742537313</v>
      </c>
      <c r="N9" s="19" t="n">
        <f aca="false">F9/F$10</f>
        <v>0.176433829263852</v>
      </c>
      <c r="O9" s="20" t="n">
        <f aca="false">C9/E9</f>
        <v>7.7948717948718</v>
      </c>
    </row>
    <row r="10" customFormat="false" ht="15" hidden="false" customHeight="false" outlineLevel="0" collapsed="false">
      <c r="A10" s="21" t="s">
        <v>101</v>
      </c>
      <c r="B10" s="22" t="n">
        <f aca="false">SUM(B6:B9)</f>
        <v>17152</v>
      </c>
      <c r="C10" s="22" t="n">
        <f aca="false">SUM(C6:C9)</f>
        <v>4951</v>
      </c>
      <c r="D10" s="22" t="n">
        <f aca="false">SUM(D6:D9)</f>
        <v>3682</v>
      </c>
      <c r="E10" s="22" t="n">
        <f aca="false">SUM(E6:E9)</f>
        <v>1082</v>
      </c>
      <c r="F10" s="23" t="n">
        <f aca="false">SUM(F6:F9)</f>
        <v>10046367</v>
      </c>
      <c r="G10" s="24" t="n">
        <f aca="false">C10/B10</f>
        <v>0.288654384328358</v>
      </c>
      <c r="H10" s="24" t="n">
        <f aca="false">D10/C10</f>
        <v>0.743688143809332</v>
      </c>
      <c r="I10" s="24" t="n">
        <f aca="false">E10/D10</f>
        <v>0.293862031504617</v>
      </c>
      <c r="J10" s="24" t="n">
        <f aca="false">E10/B10</f>
        <v>0.0630830223880597</v>
      </c>
      <c r="K10" s="23" t="n">
        <f aca="false">F10/E10</f>
        <v>9284.99722735675</v>
      </c>
      <c r="L10" s="23" t="n">
        <f aca="false">F10/B10</f>
        <v>585.725687966418</v>
      </c>
      <c r="M10" s="24" t="n">
        <f aca="false">B10/B$10</f>
        <v>1</v>
      </c>
      <c r="N10" s="24" t="n">
        <f aca="false">F10/F$10</f>
        <v>1</v>
      </c>
      <c r="O10" s="25" t="n">
        <f aca="false">C10/E10</f>
        <v>4.57578558225508</v>
      </c>
    </row>
    <row r="12" customFormat="false" ht="15" hidden="false" customHeight="false" outlineLevel="0" collapsed="false">
      <c r="A12" s="5" t="s">
        <v>102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30" hidden="false" customHeight="true" outlineLevel="0" collapsed="false">
      <c r="A13" s="9" t="s">
        <v>103</v>
      </c>
      <c r="B13" s="9" t="s">
        <v>80</v>
      </c>
      <c r="C13" s="9" t="s">
        <v>81</v>
      </c>
      <c r="D13" s="9" t="s">
        <v>90</v>
      </c>
      <c r="E13" s="9" t="s">
        <v>83</v>
      </c>
      <c r="F13" s="9" t="s">
        <v>91</v>
      </c>
      <c r="G13" s="9" t="s">
        <v>92</v>
      </c>
      <c r="H13" s="9" t="s">
        <v>93</v>
      </c>
      <c r="I13" s="9" t="s">
        <v>94</v>
      </c>
      <c r="J13" s="9" t="s">
        <v>95</v>
      </c>
      <c r="K13" s="9" t="s">
        <v>96</v>
      </c>
      <c r="L13" s="9" t="s">
        <v>97</v>
      </c>
      <c r="M13" s="9" t="s">
        <v>98</v>
      </c>
      <c r="N13" s="9" t="s">
        <v>99</v>
      </c>
      <c r="O13" s="9" t="s">
        <v>100</v>
      </c>
    </row>
    <row r="14" customFormat="false" ht="15" hidden="false" customHeight="false" outlineLevel="0" collapsed="false">
      <c r="A14" s="7" t="s">
        <v>46</v>
      </c>
      <c r="B14" s="17" t="n">
        <f aca="false">SUMIFS(Data!$C$2:$C$61,Data!$B$2:$B$61,$A14)</f>
        <v>1180</v>
      </c>
      <c r="C14" s="17" t="n">
        <f aca="false">SUMIFS(Data!$D$2:$D$61,Data!$B$2:$B$61,$A14)</f>
        <v>437</v>
      </c>
      <c r="D14" s="17" t="n">
        <f aca="false">SUMIFS(Data!$E$2:$E$61,Data!$B$2:$B$61,$A14)</f>
        <v>351</v>
      </c>
      <c r="E14" s="17" t="n">
        <f aca="false">SUMIFS(Data!$F$2:$F$61,Data!$B$2:$B$61,$A14)</f>
        <v>118</v>
      </c>
      <c r="F14" s="18" t="n">
        <f aca="false">SUMIFS(Data!$G$2:$G$61,Data!$B$2:$B$61,$A14)</f>
        <v>352503</v>
      </c>
      <c r="G14" s="19" t="n">
        <f aca="false">C14/B14</f>
        <v>0.370338983050847</v>
      </c>
      <c r="H14" s="19" t="n">
        <f aca="false">D14/C14</f>
        <v>0.803203661327231</v>
      </c>
      <c r="I14" s="19" t="n">
        <f aca="false">E14/D14</f>
        <v>0.336182336182336</v>
      </c>
      <c r="J14" s="19" t="n">
        <f aca="false">E14/B14</f>
        <v>0.1</v>
      </c>
      <c r="K14" s="18" t="n">
        <f aca="false">F14/E14</f>
        <v>2987.31355932203</v>
      </c>
      <c r="L14" s="18" t="n">
        <f aca="false">F14/B14</f>
        <v>298.731355932203</v>
      </c>
      <c r="M14" s="19" t="n">
        <f aca="false">B14/B$19</f>
        <v>0.0687966417910448</v>
      </c>
      <c r="N14" s="19" t="n">
        <f aca="false">F14/F$19</f>
        <v>0.035087609282042</v>
      </c>
      <c r="O14" s="20" t="n">
        <f aca="false">C14/E14</f>
        <v>3.70338983050847</v>
      </c>
    </row>
    <row r="15" customFormat="false" ht="15" hidden="false" customHeight="false" outlineLevel="0" collapsed="false">
      <c r="A15" s="7" t="s">
        <v>50</v>
      </c>
      <c r="B15" s="17" t="n">
        <f aca="false">SUMIFS(Data!$C$2:$C$61,Data!$B$2:$B$61,$A15)</f>
        <v>2529</v>
      </c>
      <c r="C15" s="17" t="n">
        <f aca="false">SUMIFS(Data!$D$2:$D$61,Data!$B$2:$B$61,$A15)</f>
        <v>936</v>
      </c>
      <c r="D15" s="17" t="n">
        <f aca="false">SUMIFS(Data!$E$2:$E$61,Data!$B$2:$B$61,$A15)</f>
        <v>745</v>
      </c>
      <c r="E15" s="17" t="n">
        <f aca="false">SUMIFS(Data!$F$2:$F$61,Data!$B$2:$B$61,$A15)</f>
        <v>253</v>
      </c>
      <c r="F15" s="18" t="n">
        <f aca="false">SUMIFS(Data!$G$2:$G$61,Data!$B$2:$B$61,$A15)</f>
        <v>1015546</v>
      </c>
      <c r="G15" s="19" t="n">
        <f aca="false">C15/B15</f>
        <v>0.370106761565836</v>
      </c>
      <c r="H15" s="19" t="n">
        <f aca="false">D15/C15</f>
        <v>0.795940170940171</v>
      </c>
      <c r="I15" s="19" t="n">
        <f aca="false">E15/D15</f>
        <v>0.339597315436242</v>
      </c>
      <c r="J15" s="19" t="n">
        <f aca="false">E15/B15</f>
        <v>0.10003954132068</v>
      </c>
      <c r="K15" s="18" t="n">
        <f aca="false">F15/E15</f>
        <v>4014.01581027668</v>
      </c>
      <c r="L15" s="18" t="n">
        <f aca="false">F15/B15</f>
        <v>401.560300514037</v>
      </c>
      <c r="M15" s="19" t="n">
        <f aca="false">B15/B$19</f>
        <v>0.147446361940299</v>
      </c>
      <c r="N15" s="19" t="n">
        <f aca="false">F15/F$19</f>
        <v>0.101085895030512</v>
      </c>
      <c r="O15" s="20" t="n">
        <f aca="false">C15/E15</f>
        <v>3.699604743083</v>
      </c>
    </row>
    <row r="16" customFormat="false" ht="15" hidden="false" customHeight="false" outlineLevel="0" collapsed="false">
      <c r="A16" s="7" t="s">
        <v>51</v>
      </c>
      <c r="B16" s="17" t="n">
        <f aca="false">SUMIFS(Data!$C$2:$C$61,Data!$B$2:$B$61,$A16)</f>
        <v>3246</v>
      </c>
      <c r="C16" s="17" t="n">
        <f aca="false">SUMIFS(Data!$D$2:$D$61,Data!$B$2:$B$61,$A16)</f>
        <v>1163</v>
      </c>
      <c r="D16" s="17" t="n">
        <f aca="false">SUMIFS(Data!$E$2:$E$61,Data!$B$2:$B$61,$A16)</f>
        <v>926</v>
      </c>
      <c r="E16" s="17" t="n">
        <f aca="false">SUMIFS(Data!$F$2:$F$61,Data!$B$2:$B$61,$A16)</f>
        <v>312</v>
      </c>
      <c r="F16" s="18" t="n">
        <f aca="false">SUMIFS(Data!$G$2:$G$61,Data!$B$2:$B$61,$A16)</f>
        <v>2905721</v>
      </c>
      <c r="G16" s="19" t="n">
        <f aca="false">C16/B16</f>
        <v>0.358287122612446</v>
      </c>
      <c r="H16" s="19" t="n">
        <f aca="false">D16/C16</f>
        <v>0.796216680997421</v>
      </c>
      <c r="I16" s="19" t="n">
        <f aca="false">E16/D16</f>
        <v>0.336933045356372</v>
      </c>
      <c r="J16" s="19" t="n">
        <f aca="false">E16/B16</f>
        <v>0.0961182994454713</v>
      </c>
      <c r="K16" s="18" t="n">
        <f aca="false">F16/E16</f>
        <v>9313.20833333333</v>
      </c>
      <c r="L16" s="18" t="n">
        <f aca="false">F16/B16</f>
        <v>895.169747381393</v>
      </c>
      <c r="M16" s="19" t="n">
        <f aca="false">B16/B$19</f>
        <v>0.189249067164179</v>
      </c>
      <c r="N16" s="19" t="n">
        <f aca="false">F16/F$19</f>
        <v>0.289231022517891</v>
      </c>
      <c r="O16" s="20" t="n">
        <f aca="false">C16/E16</f>
        <v>3.7275641025641</v>
      </c>
    </row>
    <row r="17" customFormat="false" ht="15" hidden="false" customHeight="false" outlineLevel="0" collapsed="false">
      <c r="A17" s="7" t="s">
        <v>54</v>
      </c>
      <c r="B17" s="17" t="n">
        <f aca="false">SUMIFS(Data!$C$2:$C$61,Data!$B$2:$B$61,$A17)</f>
        <v>6962</v>
      </c>
      <c r="C17" s="17" t="n">
        <f aca="false">SUMIFS(Data!$D$2:$D$61,Data!$B$2:$B$61,$A17)</f>
        <v>1807</v>
      </c>
      <c r="D17" s="17" t="n">
        <f aca="false">SUMIFS(Data!$E$2:$E$61,Data!$B$2:$B$61,$A17)</f>
        <v>1264</v>
      </c>
      <c r="E17" s="17" t="n">
        <f aca="false">SUMIFS(Data!$F$2:$F$61,Data!$B$2:$B$61,$A17)</f>
        <v>321</v>
      </c>
      <c r="F17" s="18" t="n">
        <f aca="false">SUMIFS(Data!$G$2:$G$61,Data!$B$2:$B$61,$A17)</f>
        <v>4000078</v>
      </c>
      <c r="G17" s="19" t="n">
        <f aca="false">C17/B17</f>
        <v>0.259551852915829</v>
      </c>
      <c r="H17" s="19" t="n">
        <f aca="false">D17/C17</f>
        <v>0.699501936912009</v>
      </c>
      <c r="I17" s="19" t="n">
        <f aca="false">E17/D17</f>
        <v>0.253955696202532</v>
      </c>
      <c r="J17" s="19" t="n">
        <f aca="false">E17/B17</f>
        <v>0.0461074403906923</v>
      </c>
      <c r="K17" s="18" t="n">
        <f aca="false">F17/E17</f>
        <v>12461.3021806854</v>
      </c>
      <c r="L17" s="18" t="n">
        <f aca="false">F17/B17</f>
        <v>574.558747486355</v>
      </c>
      <c r="M17" s="19" t="n">
        <f aca="false">B17/B$19</f>
        <v>0.405900186567164</v>
      </c>
      <c r="N17" s="19" t="n">
        <f aca="false">F17/F$19</f>
        <v>0.398161643905702</v>
      </c>
      <c r="O17" s="20" t="n">
        <f aca="false">C17/E17</f>
        <v>5.62928348909657</v>
      </c>
    </row>
    <row r="18" customFormat="false" ht="15" hidden="false" customHeight="false" outlineLevel="0" collapsed="false">
      <c r="A18" s="7" t="s">
        <v>56</v>
      </c>
      <c r="B18" s="17" t="n">
        <f aca="false">SUMIFS(Data!$C$2:$C$61,Data!$B$2:$B$61,$A18)</f>
        <v>3235</v>
      </c>
      <c r="C18" s="17" t="n">
        <f aca="false">SUMIFS(Data!$D$2:$D$61,Data!$B$2:$B$61,$A18)</f>
        <v>608</v>
      </c>
      <c r="D18" s="17" t="n">
        <f aca="false">SUMIFS(Data!$E$2:$E$61,Data!$B$2:$B$61,$A18)</f>
        <v>396</v>
      </c>
      <c r="E18" s="17" t="n">
        <f aca="false">SUMIFS(Data!$F$2:$F$61,Data!$B$2:$B$61,$A18)</f>
        <v>78</v>
      </c>
      <c r="F18" s="18" t="n">
        <f aca="false">SUMIFS(Data!$G$2:$G$61,Data!$B$2:$B$61,$A18)</f>
        <v>1772519</v>
      </c>
      <c r="G18" s="19" t="n">
        <f aca="false">C18/B18</f>
        <v>0.187944358578053</v>
      </c>
      <c r="H18" s="19" t="n">
        <f aca="false">D18/C18</f>
        <v>0.651315789473684</v>
      </c>
      <c r="I18" s="19" t="n">
        <f aca="false">E18/D18</f>
        <v>0.196969696969697</v>
      </c>
      <c r="J18" s="19" t="n">
        <f aca="false">E18/B18</f>
        <v>0.0241112828438949</v>
      </c>
      <c r="K18" s="18" t="n">
        <f aca="false">F18/E18</f>
        <v>22724.6025641026</v>
      </c>
      <c r="L18" s="18" t="n">
        <f aca="false">F18/B18</f>
        <v>547.919319938176</v>
      </c>
      <c r="M18" s="19" t="n">
        <f aca="false">B18/B$19</f>
        <v>0.188607742537313</v>
      </c>
      <c r="N18" s="19" t="n">
        <f aca="false">F18/F$19</f>
        <v>0.176433829263852</v>
      </c>
      <c r="O18" s="20" t="n">
        <f aca="false">C18/E18</f>
        <v>7.7948717948718</v>
      </c>
    </row>
    <row r="19" customFormat="false" ht="15" hidden="false" customHeight="false" outlineLevel="0" collapsed="false">
      <c r="A19" s="21" t="s">
        <v>101</v>
      </c>
      <c r="B19" s="22" t="n">
        <f aca="false">SUM(B14:B18)</f>
        <v>17152</v>
      </c>
      <c r="C19" s="22" t="n">
        <f aca="false">SUM(C14:C18)</f>
        <v>4951</v>
      </c>
      <c r="D19" s="22" t="n">
        <f aca="false">SUM(D14:D18)</f>
        <v>3682</v>
      </c>
      <c r="E19" s="22" t="n">
        <f aca="false">SUM(E14:E18)</f>
        <v>1082</v>
      </c>
      <c r="F19" s="23" t="n">
        <f aca="false">SUM(F14:F18)</f>
        <v>10046367</v>
      </c>
      <c r="G19" s="24" t="n">
        <f aca="false">C19/B19</f>
        <v>0.288654384328358</v>
      </c>
      <c r="H19" s="24" t="n">
        <f aca="false">D19/C19</f>
        <v>0.743688143809332</v>
      </c>
      <c r="I19" s="24" t="n">
        <f aca="false">E19/D19</f>
        <v>0.293862031504617</v>
      </c>
      <c r="J19" s="24" t="n">
        <f aca="false">E19/B19</f>
        <v>0.0630830223880597</v>
      </c>
      <c r="K19" s="23" t="n">
        <f aca="false">F19/E19</f>
        <v>9284.99722735675</v>
      </c>
      <c r="L19" s="23" t="n">
        <f aca="false">F19/B19</f>
        <v>585.725687966418</v>
      </c>
      <c r="M19" s="24" t="n">
        <f aca="false">B19/B$19</f>
        <v>1</v>
      </c>
      <c r="N19" s="24" t="n">
        <f aca="false">F19/F$19</f>
        <v>1</v>
      </c>
      <c r="O19" s="25" t="n">
        <f aca="false">C19/E19</f>
        <v>4.57578558225508</v>
      </c>
    </row>
    <row r="21" customFormat="false" ht="15" hidden="false" customHeight="false" outlineLevel="0" collapsed="false">
      <c r="A21" s="5" t="s">
        <v>104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30" hidden="false" customHeight="true" outlineLevel="0" collapsed="false">
      <c r="A22" s="9" t="s">
        <v>79</v>
      </c>
      <c r="B22" s="9" t="s">
        <v>80</v>
      </c>
      <c r="C22" s="9" t="s">
        <v>81</v>
      </c>
      <c r="D22" s="9" t="s">
        <v>83</v>
      </c>
      <c r="E22" s="9" t="s">
        <v>91</v>
      </c>
      <c r="F22" s="9" t="s">
        <v>92</v>
      </c>
      <c r="G22" s="9" t="s">
        <v>105</v>
      </c>
      <c r="H22" s="9" t="s">
        <v>96</v>
      </c>
      <c r="I22" s="9" t="s">
        <v>106</v>
      </c>
    </row>
    <row r="23" customFormat="false" ht="15" hidden="false" customHeight="false" outlineLevel="0" collapsed="false">
      <c r="A23" s="13" t="n">
        <v>44228</v>
      </c>
      <c r="B23" s="17" t="n">
        <f aca="false">SUMIFS(Data!$C$2:$C$61,Data!$A$2:$A$61,$A23)</f>
        <v>1155</v>
      </c>
      <c r="C23" s="17" t="n">
        <f aca="false">SUMIFS(Data!$D$2:$D$61,Data!$A$2:$A$61,$A23)</f>
        <v>410</v>
      </c>
      <c r="D23" s="17" t="n">
        <f aca="false">SUMIFS(Data!$F$2:$F$61,Data!$A$2:$A$61,$A23)</f>
        <v>90</v>
      </c>
      <c r="E23" s="18" t="n">
        <f aca="false">SUMIFS(Data!$G$2:$G$61,Data!$A$2:$A$61,$A23)</f>
        <v>690370</v>
      </c>
      <c r="F23" s="19" t="n">
        <f aca="false">C23/B23</f>
        <v>0.354978354978355</v>
      </c>
      <c r="G23" s="19" t="n">
        <f aca="false">D23/C23</f>
        <v>0.219512195121951</v>
      </c>
      <c r="H23" s="18" t="n">
        <f aca="false">E23/D23</f>
        <v>7670.77777777778</v>
      </c>
      <c r="I23" s="19" t="n">
        <f aca="false">(SUMIFS(Data!$C$2:$C$61,Data!$A$2:$A$61,$A23,Data!$B$2:$B$61,"101-500")+SUMIFS(Data!$C$2:$C$61,Data!$A$2:$A$61,$A23,Data!$B$2:$B$61,"501+"))/B23</f>
        <v>0.50995670995671</v>
      </c>
    </row>
    <row r="24" customFormat="false" ht="15" hidden="false" customHeight="false" outlineLevel="0" collapsed="false">
      <c r="A24" s="13" t="n">
        <v>44256</v>
      </c>
      <c r="B24" s="17" t="n">
        <f aca="false">SUMIFS(Data!$C$2:$C$61,Data!$A$2:$A$61,$A24)</f>
        <v>1214</v>
      </c>
      <c r="C24" s="17" t="n">
        <f aca="false">SUMIFS(Data!$D$2:$D$61,Data!$A$2:$A$61,$A24)</f>
        <v>401</v>
      </c>
      <c r="D24" s="17" t="n">
        <f aca="false">SUMIFS(Data!$F$2:$F$61,Data!$A$2:$A$61,$A24)</f>
        <v>86</v>
      </c>
      <c r="E24" s="18" t="n">
        <f aca="false">SUMIFS(Data!$G$2:$G$61,Data!$A$2:$A$61,$A24)</f>
        <v>718139</v>
      </c>
      <c r="F24" s="19" t="n">
        <f aca="false">C24/B24</f>
        <v>0.330313014827018</v>
      </c>
      <c r="G24" s="19" t="n">
        <f aca="false">D24/C24</f>
        <v>0.214463840399003</v>
      </c>
      <c r="H24" s="18" t="n">
        <f aca="false">E24/D24</f>
        <v>8350.45348837209</v>
      </c>
      <c r="I24" s="19" t="n">
        <f aca="false">(SUMIFS(Data!$C$2:$C$61,Data!$A$2:$A$61,$A24,Data!$B$2:$B$61,"101-500")+SUMIFS(Data!$C$2:$C$61,Data!$A$2:$A$61,$A24,Data!$B$2:$B$61,"501+"))/B24</f>
        <v>0.579901153212521</v>
      </c>
    </row>
    <row r="25" customFormat="false" ht="15" hidden="false" customHeight="false" outlineLevel="0" collapsed="false">
      <c r="A25" s="13" t="n">
        <v>44287</v>
      </c>
      <c r="B25" s="17" t="n">
        <f aca="false">SUMIFS(Data!$C$2:$C$61,Data!$A$2:$A$61,$A25)</f>
        <v>1315</v>
      </c>
      <c r="C25" s="17" t="n">
        <f aca="false">SUMIFS(Data!$D$2:$D$61,Data!$A$2:$A$61,$A25)</f>
        <v>416</v>
      </c>
      <c r="D25" s="17" t="n">
        <f aca="false">SUMIFS(Data!$F$2:$F$61,Data!$A$2:$A$61,$A25)</f>
        <v>93</v>
      </c>
      <c r="E25" s="18" t="n">
        <f aca="false">SUMIFS(Data!$G$2:$G$61,Data!$A$2:$A$61,$A25)</f>
        <v>756173</v>
      </c>
      <c r="F25" s="19" t="n">
        <f aca="false">C25/B25</f>
        <v>0.316349809885932</v>
      </c>
      <c r="G25" s="19" t="n">
        <f aca="false">D25/C25</f>
        <v>0.223557692307692</v>
      </c>
      <c r="H25" s="18" t="n">
        <f aca="false">E25/D25</f>
        <v>8130.89247311828</v>
      </c>
      <c r="I25" s="19" t="n">
        <f aca="false">(SUMIFS(Data!$C$2:$C$61,Data!$A$2:$A$61,$A25,Data!$B$2:$B$61,"101-500")+SUMIFS(Data!$C$2:$C$61,Data!$A$2:$A$61,$A25,Data!$B$2:$B$61,"501+"))/B25</f>
        <v>0.56958174904943</v>
      </c>
    </row>
    <row r="26" customFormat="false" ht="15" hidden="false" customHeight="false" outlineLevel="0" collapsed="false">
      <c r="A26" s="13" t="n">
        <v>44317</v>
      </c>
      <c r="B26" s="17" t="n">
        <f aca="false">SUMIFS(Data!$C$2:$C$61,Data!$A$2:$A$61,$A26)</f>
        <v>1399</v>
      </c>
      <c r="C26" s="17" t="n">
        <f aca="false">SUMIFS(Data!$D$2:$D$61,Data!$A$2:$A$61,$A26)</f>
        <v>424</v>
      </c>
      <c r="D26" s="17" t="n">
        <f aca="false">SUMIFS(Data!$F$2:$F$61,Data!$A$2:$A$61,$A26)</f>
        <v>103</v>
      </c>
      <c r="E26" s="18" t="n">
        <f aca="false">SUMIFS(Data!$G$2:$G$61,Data!$A$2:$A$61,$A26)</f>
        <v>925457</v>
      </c>
      <c r="F26" s="19" t="n">
        <f aca="false">C26/B26</f>
        <v>0.303073624017155</v>
      </c>
      <c r="G26" s="19" t="n">
        <f aca="false">D26/C26</f>
        <v>0.242924528301887</v>
      </c>
      <c r="H26" s="18" t="n">
        <f aca="false">E26/D26</f>
        <v>8985.01941747573</v>
      </c>
      <c r="I26" s="19" t="n">
        <f aca="false">(SUMIFS(Data!$C$2:$C$61,Data!$A$2:$A$61,$A26,Data!$B$2:$B$61,"101-500")+SUMIFS(Data!$C$2:$C$61,Data!$A$2:$A$61,$A26,Data!$B$2:$B$61,"501+"))/B26</f>
        <v>0.599714081486776</v>
      </c>
    </row>
    <row r="27" customFormat="false" ht="15" hidden="false" customHeight="false" outlineLevel="0" collapsed="false">
      <c r="A27" s="13" t="n">
        <v>44348</v>
      </c>
      <c r="B27" s="17" t="n">
        <f aca="false">SUMIFS(Data!$C$2:$C$61,Data!$A$2:$A$61,$A27)</f>
        <v>1444</v>
      </c>
      <c r="C27" s="17" t="n">
        <f aca="false">SUMIFS(Data!$D$2:$D$61,Data!$A$2:$A$61,$A27)</f>
        <v>423</v>
      </c>
      <c r="D27" s="17" t="n">
        <f aca="false">SUMIFS(Data!$F$2:$F$61,Data!$A$2:$A$61,$A27)</f>
        <v>94</v>
      </c>
      <c r="E27" s="18" t="n">
        <f aca="false">SUMIFS(Data!$G$2:$G$61,Data!$A$2:$A$61,$A27)</f>
        <v>856811</v>
      </c>
      <c r="F27" s="19" t="n">
        <f aca="false">C27/B27</f>
        <v>0.292936288088643</v>
      </c>
      <c r="G27" s="19" t="n">
        <f aca="false">D27/C27</f>
        <v>0.222222222222222</v>
      </c>
      <c r="H27" s="18" t="n">
        <f aca="false">E27/D27</f>
        <v>9115.01063829787</v>
      </c>
      <c r="I27" s="19" t="n">
        <f aca="false">(SUMIFS(Data!$C$2:$C$61,Data!$A$2:$A$61,$A27,Data!$B$2:$B$61,"101-500")+SUMIFS(Data!$C$2:$C$61,Data!$A$2:$A$61,$A27,Data!$B$2:$B$61,"501+"))/B27</f>
        <v>0.579639889196676</v>
      </c>
    </row>
    <row r="28" customFormat="false" ht="15" hidden="false" customHeight="false" outlineLevel="0" collapsed="false">
      <c r="A28" s="13" t="n">
        <v>44378</v>
      </c>
      <c r="B28" s="17" t="n">
        <f aca="false">SUMIFS(Data!$C$2:$C$61,Data!$A$2:$A$61,$A28)</f>
        <v>1560</v>
      </c>
      <c r="C28" s="17" t="n">
        <f aca="false">SUMIFS(Data!$D$2:$D$61,Data!$A$2:$A$61,$A28)</f>
        <v>450</v>
      </c>
      <c r="D28" s="17" t="n">
        <f aca="false">SUMIFS(Data!$F$2:$F$61,Data!$A$2:$A$61,$A28)</f>
        <v>107</v>
      </c>
      <c r="E28" s="18" t="n">
        <f aca="false">SUMIFS(Data!$G$2:$G$61,Data!$A$2:$A$61,$A28)</f>
        <v>931670</v>
      </c>
      <c r="F28" s="19" t="n">
        <f aca="false">C28/B28</f>
        <v>0.288461538461538</v>
      </c>
      <c r="G28" s="19" t="n">
        <f aca="false">D28/C28</f>
        <v>0.237777777777778</v>
      </c>
      <c r="H28" s="18" t="n">
        <f aca="false">E28/D28</f>
        <v>8707.19626168224</v>
      </c>
      <c r="I28" s="19" t="n">
        <f aca="false">(SUMIFS(Data!$C$2:$C$61,Data!$A$2:$A$61,$A28,Data!$B$2:$B$61,"101-500")+SUMIFS(Data!$C$2:$C$61,Data!$A$2:$A$61,$A28,Data!$B$2:$B$61,"501+"))/B28</f>
        <v>0.569871794871795</v>
      </c>
    </row>
    <row r="29" customFormat="false" ht="15" hidden="false" customHeight="false" outlineLevel="0" collapsed="false">
      <c r="A29" s="13" t="n">
        <v>44409</v>
      </c>
      <c r="B29" s="17" t="n">
        <f aca="false">SUMIFS(Data!$C$2:$C$61,Data!$A$2:$A$61,$A29)</f>
        <v>1605</v>
      </c>
      <c r="C29" s="17" t="n">
        <f aca="false">SUMIFS(Data!$D$2:$D$61,Data!$A$2:$A$61,$A29)</f>
        <v>454</v>
      </c>
      <c r="D29" s="17" t="n">
        <f aca="false">SUMIFS(Data!$F$2:$F$61,Data!$A$2:$A$61,$A29)</f>
        <v>100</v>
      </c>
      <c r="E29" s="18" t="n">
        <f aca="false">SUMIFS(Data!$G$2:$G$61,Data!$A$2:$A$61,$A29)</f>
        <v>943441</v>
      </c>
      <c r="F29" s="19" t="n">
        <f aca="false">C29/B29</f>
        <v>0.282866043613707</v>
      </c>
      <c r="G29" s="19" t="n">
        <f aca="false">D29/C29</f>
        <v>0.220264317180617</v>
      </c>
      <c r="H29" s="18" t="n">
        <f aca="false">E29/D29</f>
        <v>9434.41</v>
      </c>
      <c r="I29" s="19" t="n">
        <f aca="false">(SUMIFS(Data!$C$2:$C$61,Data!$A$2:$A$61,$A29,Data!$B$2:$B$61,"101-500")+SUMIFS(Data!$C$2:$C$61,Data!$A$2:$A$61,$A29,Data!$B$2:$B$61,"501+"))/B29</f>
        <v>0.590031152647975</v>
      </c>
    </row>
    <row r="30" customFormat="false" ht="15" hidden="false" customHeight="false" outlineLevel="0" collapsed="false">
      <c r="A30" s="13" t="n">
        <v>44440</v>
      </c>
      <c r="B30" s="17" t="n">
        <f aca="false">SUMIFS(Data!$C$2:$C$61,Data!$A$2:$A$61,$A30)</f>
        <v>1652</v>
      </c>
      <c r="C30" s="17" t="n">
        <f aca="false">SUMIFS(Data!$D$2:$D$61,Data!$A$2:$A$61,$A30)</f>
        <v>466</v>
      </c>
      <c r="D30" s="17" t="n">
        <f aca="false">SUMIFS(Data!$F$2:$F$61,Data!$A$2:$A$61,$A30)</f>
        <v>97</v>
      </c>
      <c r="E30" s="18" t="n">
        <f aca="false">SUMIFS(Data!$G$2:$G$61,Data!$A$2:$A$61,$A30)</f>
        <v>954831</v>
      </c>
      <c r="F30" s="19" t="n">
        <f aca="false">C30/B30</f>
        <v>0.282082324455206</v>
      </c>
      <c r="G30" s="19" t="n">
        <f aca="false">D30/C30</f>
        <v>0.208154506437768</v>
      </c>
      <c r="H30" s="18" t="n">
        <f aca="false">E30/D30</f>
        <v>9843.61855670103</v>
      </c>
      <c r="I30" s="19" t="n">
        <f aca="false">(SUMIFS(Data!$C$2:$C$61,Data!$A$2:$A$61,$A30,Data!$B$2:$B$61,"101-500")+SUMIFS(Data!$C$2:$C$61,Data!$A$2:$A$61,$A30,Data!$B$2:$B$61,"501+"))/B30</f>
        <v>0.619854721549637</v>
      </c>
    </row>
    <row r="31" customFormat="false" ht="15" hidden="false" customHeight="false" outlineLevel="0" collapsed="false">
      <c r="A31" s="13" t="n">
        <v>44470</v>
      </c>
      <c r="B31" s="17" t="n">
        <f aca="false">SUMIFS(Data!$C$2:$C$61,Data!$A$2:$A$61,$A31)</f>
        <v>1877</v>
      </c>
      <c r="C31" s="17" t="n">
        <f aca="false">SUMIFS(Data!$D$2:$D$61,Data!$A$2:$A$61,$A31)</f>
        <v>528</v>
      </c>
      <c r="D31" s="17" t="n">
        <f aca="false">SUMIFS(Data!$F$2:$F$61,Data!$A$2:$A$61,$A31)</f>
        <v>117</v>
      </c>
      <c r="E31" s="18" t="n">
        <f aca="false">SUMIFS(Data!$G$2:$G$61,Data!$A$2:$A$61,$A31)</f>
        <v>1180005</v>
      </c>
      <c r="F31" s="19" t="n">
        <f aca="false">C31/B31</f>
        <v>0.281299946723495</v>
      </c>
      <c r="G31" s="19" t="n">
        <f aca="false">D31/C31</f>
        <v>0.221590909090909</v>
      </c>
      <c r="H31" s="18" t="n">
        <f aca="false">E31/D31</f>
        <v>10085.5128205128</v>
      </c>
      <c r="I31" s="19" t="n">
        <f aca="false">(SUMIFS(Data!$C$2:$C$61,Data!$A$2:$A$61,$A31,Data!$B$2:$B$61,"101-500")+SUMIFS(Data!$C$2:$C$61,Data!$A$2:$A$61,$A31,Data!$B$2:$B$61,"501+"))/B31</f>
        <v>0.629728289824188</v>
      </c>
    </row>
    <row r="32" customFormat="false" ht="15" hidden="false" customHeight="false" outlineLevel="0" collapsed="false">
      <c r="A32" s="13" t="n">
        <v>44501</v>
      </c>
      <c r="B32" s="17" t="n">
        <f aca="false">SUMIFS(Data!$C$2:$C$61,Data!$A$2:$A$61,$A32)</f>
        <v>1001</v>
      </c>
      <c r="C32" s="17" t="n">
        <f aca="false">SUMIFS(Data!$D$2:$D$61,Data!$A$2:$A$61,$A32)</f>
        <v>229</v>
      </c>
      <c r="D32" s="17" t="n">
        <f aca="false">SUMIFS(Data!$F$2:$F$61,Data!$A$2:$A$61,$A32)</f>
        <v>41</v>
      </c>
      <c r="E32" s="18" t="n">
        <f aca="false">SUMIFS(Data!$G$2:$G$61,Data!$A$2:$A$61,$A32)</f>
        <v>429791</v>
      </c>
      <c r="F32" s="19" t="n">
        <f aca="false">C32/B32</f>
        <v>0.228771228771229</v>
      </c>
      <c r="G32" s="19" t="n">
        <f aca="false">D32/C32</f>
        <v>0.179039301310044</v>
      </c>
      <c r="H32" s="18" t="n">
        <f aca="false">E32/D32</f>
        <v>10482.7073170732</v>
      </c>
      <c r="I32" s="19" t="n">
        <f aca="false">(SUMIFS(Data!$C$2:$C$61,Data!$A$2:$A$61,$A32,Data!$B$2:$B$61,"101-500")+SUMIFS(Data!$C$2:$C$61,Data!$A$2:$A$61,$A32,Data!$B$2:$B$61,"501+"))/B32</f>
        <v>0.63036963036963</v>
      </c>
    </row>
    <row r="33" customFormat="false" ht="15" hidden="false" customHeight="false" outlineLevel="0" collapsed="false">
      <c r="A33" s="13" t="n">
        <v>44531</v>
      </c>
      <c r="B33" s="17" t="n">
        <f aca="false">SUMIFS(Data!$C$2:$C$61,Data!$A$2:$A$61,$A33)</f>
        <v>1015</v>
      </c>
      <c r="C33" s="17" t="n">
        <f aca="false">SUMIFS(Data!$D$2:$D$61,Data!$A$2:$A$61,$A33)</f>
        <v>212</v>
      </c>
      <c r="D33" s="17" t="n">
        <f aca="false">SUMIFS(Data!$F$2:$F$61,Data!$A$2:$A$61,$A33)</f>
        <v>34</v>
      </c>
      <c r="E33" s="18" t="n">
        <f aca="false">SUMIFS(Data!$G$2:$G$61,Data!$A$2:$A$61,$A33)</f>
        <v>375643</v>
      </c>
      <c r="F33" s="19" t="n">
        <f aca="false">C33/B33</f>
        <v>0.208866995073892</v>
      </c>
      <c r="G33" s="19" t="n">
        <f aca="false">D33/C33</f>
        <v>0.160377358490566</v>
      </c>
      <c r="H33" s="18" t="n">
        <f aca="false">E33/D33</f>
        <v>11048.3235294118</v>
      </c>
      <c r="I33" s="19" t="n">
        <f aca="false">(SUMIFS(Data!$C$2:$C$61,Data!$A$2:$A$61,$A33,Data!$B$2:$B$61,"101-500")+SUMIFS(Data!$C$2:$C$61,Data!$A$2:$A$61,$A33,Data!$B$2:$B$61,"501+"))/B33</f>
        <v>0.609852216748768</v>
      </c>
    </row>
    <row r="34" customFormat="false" ht="15" hidden="false" customHeight="false" outlineLevel="0" collapsed="false">
      <c r="A34" s="13" t="n">
        <v>44562</v>
      </c>
      <c r="B34" s="17" t="n">
        <f aca="false">SUMIFS(Data!$C$2:$C$61,Data!$A$2:$A$61,$A34)</f>
        <v>1915</v>
      </c>
      <c r="C34" s="17" t="n">
        <f aca="false">SUMIFS(Data!$D$2:$D$61,Data!$A$2:$A$61,$A34)</f>
        <v>538</v>
      </c>
      <c r="D34" s="17" t="n">
        <f aca="false">SUMIFS(Data!$F$2:$F$61,Data!$A$2:$A$61,$A34)</f>
        <v>120</v>
      </c>
      <c r="E34" s="18" t="n">
        <f aca="false">SUMIFS(Data!$G$2:$G$61,Data!$A$2:$A$61,$A34)</f>
        <v>1284036</v>
      </c>
      <c r="F34" s="19" t="n">
        <f aca="false">C34/B34</f>
        <v>0.280939947780679</v>
      </c>
      <c r="G34" s="19" t="n">
        <f aca="false">D34/C34</f>
        <v>0.223048327137546</v>
      </c>
      <c r="H34" s="18" t="n">
        <f aca="false">E34/D34</f>
        <v>10700.3</v>
      </c>
      <c r="I34" s="19" t="n">
        <f aca="false">(SUMIFS(Data!$C$2:$C$61,Data!$A$2:$A$61,$A34,Data!$B$2:$B$61,"101-500")+SUMIFS(Data!$C$2:$C$61,Data!$A$2:$A$61,$A34,Data!$B$2:$B$61,"501+"))/B34</f>
        <v>0.619843342036554</v>
      </c>
    </row>
    <row r="35" customFormat="false" ht="15" hidden="false" customHeight="false" outlineLevel="0" collapsed="false">
      <c r="A35" s="21" t="s">
        <v>101</v>
      </c>
      <c r="B35" s="22" t="n">
        <f aca="false">SUM(B23:B34)</f>
        <v>17152</v>
      </c>
      <c r="C35" s="22" t="n">
        <f aca="false">SUM(C23:C34)</f>
        <v>4951</v>
      </c>
      <c r="D35" s="22" t="n">
        <f aca="false">SUM(D23:D34)</f>
        <v>1082</v>
      </c>
      <c r="E35" s="23" t="n">
        <f aca="false">SUM(E23:E34)</f>
        <v>10046367</v>
      </c>
    </row>
    <row r="36" customFormat="false" ht="15" hidden="false" customHeight="false" outlineLevel="0" collapsed="false">
      <c r="A36" s="2" t="s">
        <v>107</v>
      </c>
    </row>
    <row r="38" customFormat="false" ht="15" hidden="false" customHeight="false" outlineLevel="0" collapsed="false">
      <c r="A38" s="5" t="s">
        <v>108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30" hidden="false" customHeight="true" outlineLevel="0" collapsed="false">
      <c r="A39" s="9" t="s">
        <v>109</v>
      </c>
      <c r="B39" s="9" t="s">
        <v>47</v>
      </c>
      <c r="C39" s="9" t="s">
        <v>52</v>
      </c>
      <c r="D39" s="9" t="s">
        <v>55</v>
      </c>
      <c r="E39" s="9" t="s">
        <v>57</v>
      </c>
      <c r="F39" s="9" t="s">
        <v>101</v>
      </c>
      <c r="G39" s="9" t="s">
        <v>110</v>
      </c>
    </row>
    <row r="40" customFormat="false" ht="15" hidden="false" customHeight="false" outlineLevel="0" collapsed="false">
      <c r="A40" s="7" t="s">
        <v>44</v>
      </c>
      <c r="B40" s="16" t="s">
        <v>47</v>
      </c>
      <c r="C40" s="16" t="s">
        <v>52</v>
      </c>
      <c r="D40" s="16" t="s">
        <v>55</v>
      </c>
      <c r="E40" s="16" t="s">
        <v>57</v>
      </c>
      <c r="F40" s="21" t="s">
        <v>101</v>
      </c>
    </row>
    <row r="41" customFormat="false" ht="15" hidden="false" customHeight="false" outlineLevel="0" collapsed="false">
      <c r="A41" s="7" t="s">
        <v>111</v>
      </c>
      <c r="B41" s="17" t="n">
        <f aca="false">(SUMIFS(Data!$C$2:$C$61,Data!$I$2:$I$61,1,Data!$H$2:$H$61,B$40)/(COUNTIFS(Data!$I$2:$I$61,1)/5))</f>
        <v>319</v>
      </c>
      <c r="C41" s="17" t="n">
        <f aca="false">(SUMIFS(Data!$C$2:$C$61,Data!$I$2:$I$61,1,Data!$H$2:$H$61,C$40)/(COUNTIFS(Data!$I$2:$I$61,1)/5))</f>
        <v>261</v>
      </c>
      <c r="D41" s="17" t="n">
        <f aca="false">(SUMIFS(Data!$C$2:$C$61,Data!$I$2:$I$61,1,Data!$H$2:$H$61,D$40)/(COUNTIFS(Data!$I$2:$I$61,1)/5))</f>
        <v>542.833333333333</v>
      </c>
      <c r="E41" s="17" t="n">
        <f aca="false">(SUMIFS(Data!$C$2:$C$61,Data!$I$2:$I$61,1,Data!$H$2:$H$61,E$40)/(COUNTIFS(Data!$I$2:$I$61,1)/5))</f>
        <v>225</v>
      </c>
      <c r="F41" s="22" t="n">
        <f aca="false">(SUMIFS(Data!$C$2:$C$61,Data!$I$2:$I$61,1)/(COUNTIFS(Data!$I$2:$I$61,1)/5))</f>
        <v>1347.83333333333</v>
      </c>
    </row>
    <row r="42" customFormat="false" ht="15" hidden="false" customHeight="false" outlineLevel="0" collapsed="false">
      <c r="A42" s="7" t="s">
        <v>112</v>
      </c>
      <c r="B42" s="17" t="n">
        <f aca="false">(SUMIFS(Data!$C$2:$C$61,Data!$J$2:$J$61,1,Data!$H$2:$H$61,B$40)/(COUNTIFS(Data!$J$2:$J$61,1)/5))</f>
        <v>352.333333333333</v>
      </c>
      <c r="C42" s="17" t="n">
        <f aca="false">(SUMIFS(Data!$C$2:$C$61,Data!$J$2:$J$61,1,Data!$H$2:$H$61,C$40)/(COUNTIFS(Data!$J$2:$J$61,1)/5))</f>
        <v>308</v>
      </c>
      <c r="D42" s="17" t="n">
        <f aca="false">(SUMIFS(Data!$C$2:$C$61,Data!$J$2:$J$61,1,Data!$H$2:$H$61,D$40)/(COUNTIFS(Data!$J$2:$J$61,1)/5))</f>
        <v>707.666666666667</v>
      </c>
      <c r="E42" s="17" t="n">
        <f aca="false">(SUMIFS(Data!$C$2:$C$61,Data!$J$2:$J$61,1,Data!$H$2:$H$61,E$40)/(COUNTIFS(Data!$J$2:$J$61,1)/5))</f>
        <v>343.333333333333</v>
      </c>
      <c r="F42" s="22" t="n">
        <f aca="false">(SUMIFS(Data!$C$2:$C$61,Data!$J$2:$J$61,1)/(COUNTIFS(Data!$J$2:$J$61,1)/5))</f>
        <v>1711.33333333333</v>
      </c>
    </row>
    <row r="43" customFormat="false" ht="15" hidden="false" customHeight="false" outlineLevel="0" collapsed="false">
      <c r="A43" s="7" t="s">
        <v>113</v>
      </c>
      <c r="B43" s="19" t="n">
        <f aca="false">B42/B41-1</f>
        <v>0.104493207941484</v>
      </c>
      <c r="C43" s="19" t="n">
        <f aca="false">C42/C41-1</f>
        <v>0.18007662835249</v>
      </c>
      <c r="D43" s="19" t="n">
        <f aca="false">D42/D41-1</f>
        <v>0.303653669020571</v>
      </c>
      <c r="E43" s="19" t="n">
        <f aca="false">E42/E41-1</f>
        <v>0.525925925925926</v>
      </c>
      <c r="F43" s="24" t="n">
        <f aca="false">F42/F41-1</f>
        <v>0.269692098429578</v>
      </c>
      <c r="G43" s="2" t="s">
        <v>114</v>
      </c>
    </row>
    <row r="44" customFormat="false" ht="15" hidden="false" customHeight="false" outlineLevel="0" collapsed="false">
      <c r="A44" s="7" t="s">
        <v>115</v>
      </c>
      <c r="B44" s="18" t="n">
        <f aca="false">(SUMIFS(Data!$G$2:$G$61,Data!$I$2:$I$61,1,Data!$H$2:$H$61,B$40)/(COUNTIFS(Data!$I$2:$I$61,1)/5))</f>
        <v>125561.333333333</v>
      </c>
      <c r="C44" s="18" t="n">
        <f aca="false">(SUMIFS(Data!$G$2:$G$61,Data!$I$2:$I$61,1,Data!$H$2:$H$61,C$40)/(COUNTIFS(Data!$I$2:$I$61,1)/5))</f>
        <v>253891.166666667</v>
      </c>
      <c r="D44" s="18" t="n">
        <f aca="false">(SUMIFS(Data!$G$2:$G$61,Data!$I$2:$I$61,1,Data!$H$2:$H$61,D$40)/(COUNTIFS(Data!$I$2:$I$61,1)/5))</f>
        <v>311471.333333333</v>
      </c>
      <c r="E44" s="18" t="n">
        <f aca="false">(SUMIFS(Data!$G$2:$G$61,Data!$I$2:$I$61,1,Data!$H$2:$H$61,E$40)/(COUNTIFS(Data!$I$2:$I$61,1)/5))</f>
        <v>122179.5</v>
      </c>
      <c r="F44" s="23" t="n">
        <f aca="false">(SUMIFS(Data!$G$2:$G$61,Data!$I$2:$I$61,1)/(COUNTIFS(Data!$I$2:$I$61,1)/5))</f>
        <v>813103.333333333</v>
      </c>
    </row>
    <row r="45" customFormat="false" ht="15" hidden="false" customHeight="false" outlineLevel="0" collapsed="false">
      <c r="A45" s="7" t="s">
        <v>116</v>
      </c>
      <c r="B45" s="18" t="n">
        <f aca="false">(SUMIFS(Data!$G$2:$G$61,Data!$J$2:$J$61,1,Data!$H$2:$H$61,B$40)/(COUNTIFS(Data!$J$2:$J$61,1)/5))</f>
        <v>130019.666666667</v>
      </c>
      <c r="C45" s="18" t="n">
        <f aca="false">(SUMIFS(Data!$G$2:$G$61,Data!$J$2:$J$61,1,Data!$H$2:$H$61,C$40)/(COUNTIFS(Data!$J$2:$J$61,1)/5))</f>
        <v>278636</v>
      </c>
      <c r="D45" s="18" t="n">
        <f aca="false">(SUMIFS(Data!$G$2:$G$61,Data!$J$2:$J$61,1,Data!$H$2:$H$61,D$40)/(COUNTIFS(Data!$J$2:$J$61,1)/5))</f>
        <v>424573</v>
      </c>
      <c r="E45" s="18" t="n">
        <f aca="false">(SUMIFS(Data!$G$2:$G$61,Data!$J$2:$J$61,1,Data!$H$2:$H$61,E$40)/(COUNTIFS(Data!$J$2:$J$61,1)/5))</f>
        <v>192863.666666667</v>
      </c>
      <c r="F45" s="23" t="n">
        <f aca="false">(SUMIFS(Data!$G$2:$G$61,Data!$J$2:$J$61,1)/(COUNTIFS(Data!$J$2:$J$61,1)/5))</f>
        <v>1026092.33333333</v>
      </c>
    </row>
    <row r="46" customFormat="false" ht="15" hidden="false" customHeight="false" outlineLevel="0" collapsed="false">
      <c r="A46" s="7" t="s">
        <v>117</v>
      </c>
      <c r="B46" s="19" t="n">
        <f aca="false">B45/B44-1</f>
        <v>0.0355072155971585</v>
      </c>
      <c r="C46" s="19" t="n">
        <f aca="false">C45/C44-1</f>
        <v>0.0974623641232104</v>
      </c>
      <c r="D46" s="19" t="n">
        <f aca="false">D45/D44-1</f>
        <v>0.363120629613854</v>
      </c>
      <c r="E46" s="19" t="n">
        <f aca="false">E45/E44-1</f>
        <v>0.578527221560627</v>
      </c>
      <c r="F46" s="24" t="n">
        <f aca="false">F45/F44-1</f>
        <v>0.261945796147271</v>
      </c>
    </row>
    <row r="47" customFormat="false" ht="15" hidden="false" customHeight="false" outlineLevel="0" collapsed="false">
      <c r="A47" s="7" t="s">
        <v>118</v>
      </c>
      <c r="B47" s="18" t="n">
        <f aca="false">(SUMIFS(Data!$G$2:$G$61,Data!$I$2:$I$61,1,Data!$H$2:$H$61,B$40)/(COUNTIFS(Data!$I$2:$I$61,1)/5))/(SUMIFS(Data!$F$2:$F$61,Data!$I$2:$I$61,1,Data!$H$2:$H$61,B$40)/(COUNTIFS(Data!$I$2:$I$61,1)/5))</f>
        <v>3639.45893719807</v>
      </c>
      <c r="C47" s="18" t="n">
        <f aca="false">(SUMIFS(Data!$G$2:$G$61,Data!$I$2:$I$61,1,Data!$H$2:$H$61,C$40)/(COUNTIFS(Data!$I$2:$I$61,1)/5))/(SUMIFS(Data!$F$2:$F$61,Data!$I$2:$I$61,1,Data!$H$2:$H$61,C$40)/(COUNTIFS(Data!$I$2:$I$61,1)/5))</f>
        <v>9067.54166666667</v>
      </c>
      <c r="D47" s="18" t="n">
        <f aca="false">(SUMIFS(Data!$G$2:$G$61,Data!$I$2:$I$61,1,Data!$H$2:$H$61,D$40)/(COUNTIFS(Data!$I$2:$I$61,1)/5))/(SUMIFS(Data!$F$2:$F$61,Data!$I$2:$I$61,1,Data!$H$2:$H$61,D$40)/(COUNTIFS(Data!$I$2:$I$61,1)/5))</f>
        <v>11465.2024539877</v>
      </c>
      <c r="E47" s="18" t="n">
        <f aca="false">(SUMIFS(Data!$G$2:$G$61,Data!$I$2:$I$61,1,Data!$H$2:$H$61,E$40)/(COUNTIFS(Data!$I$2:$I$61,1)/5))/(SUMIFS(Data!$F$2:$F$61,Data!$I$2:$I$61,1,Data!$H$2:$H$61,E$40)/(COUNTIFS(Data!$I$2:$I$61,1)/5))</f>
        <v>20945.0571428571</v>
      </c>
      <c r="F47" s="23" t="n">
        <f aca="false">(SUMIFS(Data!$G$2:$G$61,Data!$I$2:$I$61,1)/(COUNTIFS(Data!$I$2:$I$61,1)/5))/(SUMIFS(Data!$F$2:$F$61,Data!$I$2:$I$61,1)/(COUNTIFS(Data!$I$2:$I$61,1)/5))</f>
        <v>8514.17102966841</v>
      </c>
    </row>
    <row r="48" customFormat="false" ht="15" hidden="false" customHeight="false" outlineLevel="0" collapsed="false">
      <c r="A48" s="7" t="s">
        <v>119</v>
      </c>
      <c r="B48" s="18" t="n">
        <f aca="false">(SUMIFS(Data!$G$2:$G$61,Data!$J$2:$J$61,1,Data!$H$2:$H$61,B$40)/(COUNTIFS(Data!$J$2:$J$61,1)/5))/(SUMIFS(Data!$F$2:$F$61,Data!$J$2:$J$61,1,Data!$H$2:$H$61,B$40)/(COUNTIFS(Data!$J$2:$J$61,1)/5))</f>
        <v>3786.98058252427</v>
      </c>
      <c r="C48" s="18" t="n">
        <f aca="false">(SUMIFS(Data!$G$2:$G$61,Data!$J$2:$J$61,1,Data!$H$2:$H$61,C$40)/(COUNTIFS(Data!$J$2:$J$61,1)/5))/(SUMIFS(Data!$F$2:$F$61,Data!$J$2:$J$61,1,Data!$H$2:$H$61,C$40)/(COUNTIFS(Data!$J$2:$J$61,1)/5))</f>
        <v>9498.95454545455</v>
      </c>
      <c r="D48" s="18" t="n">
        <f aca="false">(SUMIFS(Data!$G$2:$G$61,Data!$J$2:$J$61,1,Data!$H$2:$H$61,D$40)/(COUNTIFS(Data!$J$2:$J$61,1)/5))/(SUMIFS(Data!$F$2:$F$61,Data!$J$2:$J$61,1,Data!$H$2:$H$61,D$40)/(COUNTIFS(Data!$J$2:$J$61,1)/5))</f>
        <v>12997.1326530612</v>
      </c>
      <c r="E48" s="18" t="n">
        <f aca="false">(SUMIFS(Data!$G$2:$G$61,Data!$J$2:$J$61,1,Data!$H$2:$H$61,E$40)/(COUNTIFS(Data!$J$2:$J$61,1)/5))/(SUMIFS(Data!$F$2:$F$61,Data!$J$2:$J$61,1,Data!$H$2:$H$61,E$40)/(COUNTIFS(Data!$J$2:$J$61,1)/5))</f>
        <v>23143.64</v>
      </c>
      <c r="F48" s="23" t="n">
        <f aca="false">(SUMIFS(Data!$G$2:$G$61,Data!$J$2:$J$61,1)/(COUNTIFS(Data!$J$2:$J$61,1)/5))/(SUMIFS(Data!$F$2:$F$61,Data!$J$2:$J$61,1)/(COUNTIFS(Data!$J$2:$J$61,1)/5))</f>
        <v>9803.42993630573</v>
      </c>
    </row>
    <row r="49" customFormat="false" ht="15" hidden="false" customHeight="false" outlineLevel="0" collapsed="false">
      <c r="A49" s="7" t="s">
        <v>120</v>
      </c>
      <c r="B49" s="19" t="n">
        <f aca="false">B48/B47-1</f>
        <v>0.0405339496534551</v>
      </c>
      <c r="C49" s="19" t="n">
        <f aca="false">C48/C47-1</f>
        <v>0.047577711208519</v>
      </c>
      <c r="D49" s="19" t="n">
        <f aca="false">D48/D47-1</f>
        <v>0.133615625648257</v>
      </c>
      <c r="E49" s="19" t="n">
        <f aca="false">E48/E47-1</f>
        <v>0.104969055092439</v>
      </c>
      <c r="F49" s="24" t="n">
        <f aca="false">F48/F47-1</f>
        <v>0.151425065592972</v>
      </c>
    </row>
    <row r="50" customFormat="false" ht="15" hidden="false" customHeight="false" outlineLevel="0" collapsed="false">
      <c r="A50" s="7" t="s">
        <v>121</v>
      </c>
      <c r="B50" s="19" t="n">
        <f aca="false">(SUMIFS(Data!$D$2:$D$61,Data!$I$2:$I$61,1,Data!$H$2:$H$61,B$40)/(COUNTIFS(Data!$I$2:$I$61,1)/5))/(SUMIFS(Data!$C$2:$C$61,Data!$I$2:$I$61,1,Data!$H$2:$H$61,B$40)/(COUNTIFS(Data!$I$2:$I$61,1)/5))</f>
        <v>0.395506792058516</v>
      </c>
      <c r="C50" s="19" t="n">
        <f aca="false">(SUMIFS(Data!$D$2:$D$61,Data!$I$2:$I$61,1,Data!$H$2:$H$61,C$40)/(COUNTIFS(Data!$I$2:$I$61,1)/5))/(SUMIFS(Data!$C$2:$C$61,Data!$I$2:$I$61,1,Data!$H$2:$H$61,C$40)/(COUNTIFS(Data!$I$2:$I$61,1)/5))</f>
        <v>0.389527458492976</v>
      </c>
      <c r="D50" s="19" t="n">
        <f aca="false">(SUMIFS(Data!$D$2:$D$61,Data!$I$2:$I$61,1,Data!$H$2:$H$61,D$40)/(COUNTIFS(Data!$I$2:$I$61,1)/5))/(SUMIFS(Data!$C$2:$C$61,Data!$I$2:$I$61,1,Data!$H$2:$H$61,D$40)/(COUNTIFS(Data!$I$2:$I$61,1)/5))</f>
        <v>0.274792754068161</v>
      </c>
      <c r="E50" s="19" t="n">
        <f aca="false">(SUMIFS(Data!$D$2:$D$61,Data!$I$2:$I$61,1,Data!$H$2:$H$61,E$40)/(COUNTIFS(Data!$I$2:$I$61,1)/5))/(SUMIFS(Data!$C$2:$C$61,Data!$I$2:$I$61,1,Data!$H$2:$H$61,E$40)/(COUNTIFS(Data!$I$2:$I$61,1)/5))</f>
        <v>0.194074074074074</v>
      </c>
      <c r="F50" s="24" t="n">
        <f aca="false">(SUMIFS(Data!$D$2:$D$61,Data!$I$2:$I$61,1)/(COUNTIFS(Data!$I$2:$I$61,1)/5))/(SUMIFS(Data!$C$2:$C$61,Data!$I$2:$I$61,1)/(COUNTIFS(Data!$I$2:$I$61,1)/5))</f>
        <v>0.312105848893286</v>
      </c>
    </row>
    <row r="51" customFormat="false" ht="15" hidden="false" customHeight="false" outlineLevel="0" collapsed="false">
      <c r="A51" s="7" t="s">
        <v>122</v>
      </c>
      <c r="B51" s="19" t="n">
        <f aca="false">(SUMIFS(Data!$D$2:$D$61,Data!$J$2:$J$61,1,Data!$H$2:$H$61,B$40)/(COUNTIFS(Data!$J$2:$J$61,1)/5))/(SUMIFS(Data!$C$2:$C$61,Data!$J$2:$J$61,1,Data!$H$2:$H$61,B$40)/(COUNTIFS(Data!$J$2:$J$61,1)/5))</f>
        <v>0.360454115421003</v>
      </c>
      <c r="C51" s="19" t="n">
        <f aca="false">(SUMIFS(Data!$D$2:$D$61,Data!$J$2:$J$61,1,Data!$H$2:$H$61,C$40)/(COUNTIFS(Data!$J$2:$J$61,1)/5))/(SUMIFS(Data!$C$2:$C$61,Data!$J$2:$J$61,1,Data!$H$2:$H$61,C$40)/(COUNTIFS(Data!$J$2:$J$61,1)/5))</f>
        <v>0.352813852813853</v>
      </c>
      <c r="D51" s="19" t="n">
        <f aca="false">(SUMIFS(Data!$D$2:$D$61,Data!$J$2:$J$61,1,Data!$H$2:$H$61,D$40)/(COUNTIFS(Data!$J$2:$J$61,1)/5))/(SUMIFS(Data!$C$2:$C$61,Data!$J$2:$J$61,1,Data!$H$2:$H$61,D$40)/(COUNTIFS(Data!$J$2:$J$61,1)/5))</f>
        <v>0.256712199717381</v>
      </c>
      <c r="E51" s="19" t="n">
        <f aca="false">(SUMIFS(Data!$D$2:$D$61,Data!$J$2:$J$61,1,Data!$H$2:$H$61,E$40)/(COUNTIFS(Data!$J$2:$J$61,1)/5))/(SUMIFS(Data!$C$2:$C$61,Data!$J$2:$J$61,1,Data!$H$2:$H$61,E$40)/(COUNTIFS(Data!$J$2:$J$61,1)/5))</f>
        <v>0.190291262135922</v>
      </c>
      <c r="F51" s="24" t="n">
        <f aca="false">(SUMIFS(Data!$D$2:$D$61,Data!$J$2:$J$61,1)/(COUNTIFS(Data!$J$2:$J$61,1)/5))/(SUMIFS(Data!$C$2:$C$61,Data!$J$2:$J$61,1)/(COUNTIFS(Data!$J$2:$J$61,1)/5))</f>
        <v>0.282041293338528</v>
      </c>
    </row>
    <row r="52" customFormat="false" ht="15" hidden="false" customHeight="false" outlineLevel="0" collapsed="false">
      <c r="A52" s="7" t="s">
        <v>123</v>
      </c>
      <c r="B52" s="26" t="n">
        <f aca="false">B51-B50</f>
        <v>-0.0350526766375133</v>
      </c>
      <c r="C52" s="26" t="n">
        <f aca="false">C51-C50</f>
        <v>-0.036713605679123</v>
      </c>
      <c r="D52" s="26" t="n">
        <f aca="false">D51-D50</f>
        <v>-0.0180805543507798</v>
      </c>
      <c r="E52" s="26" t="n">
        <f aca="false">E51-E50</f>
        <v>-0.00378281193815175</v>
      </c>
      <c r="F52" s="27" t="n">
        <f aca="false">F51-F50</f>
        <v>-0.0300645555547581</v>
      </c>
      <c r="G52" s="2" t="s">
        <v>124</v>
      </c>
    </row>
    <row r="53" customFormat="false" ht="15" hidden="false" customHeight="false" outlineLevel="0" collapsed="false">
      <c r="A53" s="7" t="s">
        <v>125</v>
      </c>
      <c r="B53" s="19" t="n">
        <f aca="false">(SUMIFS(Data!$E$2:$E$61,Data!$I$2:$I$61,1,Data!$H$2:$H$61,B$40)/(COUNTIFS(Data!$I$2:$I$61,1)/5))/(SUMIFS(Data!$D$2:$D$61,Data!$I$2:$I$61,1,Data!$H$2:$H$61,B$40)/(COUNTIFS(Data!$I$2:$I$61,1)/5))</f>
        <v>0.799207397622193</v>
      </c>
      <c r="C53" s="19" t="n">
        <f aca="false">(SUMIFS(Data!$E$2:$E$61,Data!$I$2:$I$61,1,Data!$H$2:$H$61,C$40)/(COUNTIFS(Data!$I$2:$I$61,1)/5))/(SUMIFS(Data!$D$2:$D$61,Data!$I$2:$I$61,1,Data!$H$2:$H$61,C$40)/(COUNTIFS(Data!$I$2:$I$61,1)/5))</f>
        <v>0.79016393442623</v>
      </c>
      <c r="D53" s="19" t="n">
        <f aca="false">(SUMIFS(Data!$E$2:$E$61,Data!$I$2:$I$61,1,Data!$H$2:$H$61,D$40)/(COUNTIFS(Data!$I$2:$I$61,1)/5))/(SUMIFS(Data!$D$2:$D$61,Data!$I$2:$I$61,1,Data!$H$2:$H$61,D$40)/(COUNTIFS(Data!$I$2:$I$61,1)/5))</f>
        <v>0.70391061452514</v>
      </c>
      <c r="E53" s="19" t="n">
        <f aca="false">(SUMIFS(Data!$E$2:$E$61,Data!$I$2:$I$61,1,Data!$H$2:$H$61,E$40)/(COUNTIFS(Data!$I$2:$I$61,1)/5))/(SUMIFS(Data!$D$2:$D$61,Data!$I$2:$I$61,1,Data!$H$2:$H$61,E$40)/(COUNTIFS(Data!$I$2:$I$61,1)/5))</f>
        <v>0.648854961832061</v>
      </c>
      <c r="F53" s="24" t="n">
        <f aca="false">(SUMIFS(Data!$E$2:$E$61,Data!$I$2:$I$61,1)/(COUNTIFS(Data!$I$2:$I$61,1)/5))/(SUMIFS(Data!$D$2:$D$61,Data!$I$2:$I$61,1)/(COUNTIFS(Data!$I$2:$I$61,1)/5))</f>
        <v>0.747622820919176</v>
      </c>
    </row>
    <row r="54" customFormat="false" ht="15" hidden="false" customHeight="false" outlineLevel="0" collapsed="false">
      <c r="A54" s="7" t="s">
        <v>126</v>
      </c>
      <c r="B54" s="19" t="n">
        <f aca="false">(SUMIFS(Data!$E$2:$E$61,Data!$J$2:$J$61,1,Data!$H$2:$H$61,B$40)/(COUNTIFS(Data!$J$2:$J$61,1)/5))/(SUMIFS(Data!$D$2:$D$61,Data!$J$2:$J$61,1,Data!$H$2:$H$61,B$40)/(COUNTIFS(Data!$J$2:$J$61,1)/5))</f>
        <v>0.795275590551181</v>
      </c>
      <c r="C54" s="19" t="n">
        <f aca="false">(SUMIFS(Data!$E$2:$E$61,Data!$J$2:$J$61,1,Data!$H$2:$H$61,C$40)/(COUNTIFS(Data!$J$2:$J$61,1)/5))/(SUMIFS(Data!$D$2:$D$61,Data!$J$2:$J$61,1,Data!$H$2:$H$61,C$40)/(COUNTIFS(Data!$J$2:$J$61,1)/5))</f>
        <v>0.794478527607362</v>
      </c>
      <c r="D54" s="19" t="n">
        <f aca="false">(SUMIFS(Data!$E$2:$E$61,Data!$J$2:$J$61,1,Data!$H$2:$H$61,D$40)/(COUNTIFS(Data!$J$2:$J$61,1)/5))/(SUMIFS(Data!$D$2:$D$61,Data!$J$2:$J$61,1,Data!$H$2:$H$61,D$40)/(COUNTIFS(Data!$J$2:$J$61,1)/5))</f>
        <v>0.693577981651376</v>
      </c>
      <c r="E54" s="19" t="n">
        <f aca="false">(SUMIFS(Data!$E$2:$E$61,Data!$J$2:$J$61,1,Data!$H$2:$H$61,E$40)/(COUNTIFS(Data!$J$2:$J$61,1)/5))/(SUMIFS(Data!$D$2:$D$61,Data!$J$2:$J$61,1,Data!$H$2:$H$61,E$40)/(COUNTIFS(Data!$J$2:$J$61,1)/5))</f>
        <v>0.658163265306123</v>
      </c>
      <c r="F54" s="24" t="n">
        <f aca="false">(SUMIFS(Data!$E$2:$E$61,Data!$J$2:$J$61,1)/(COUNTIFS(Data!$J$2:$J$61,1)/5))/(SUMIFS(Data!$D$2:$D$61,Data!$J$2:$J$61,1)/(COUNTIFS(Data!$J$2:$J$61,1)/5))</f>
        <v>0.738259668508287</v>
      </c>
    </row>
    <row r="55" customFormat="false" ht="15" hidden="false" customHeight="false" outlineLevel="0" collapsed="false">
      <c r="A55" s="7" t="s">
        <v>123</v>
      </c>
      <c r="B55" s="26" t="n">
        <f aca="false">B54-B53</f>
        <v>-0.00393180707101171</v>
      </c>
      <c r="C55" s="26" t="n">
        <f aca="false">C54-C53</f>
        <v>0.00431459318113248</v>
      </c>
      <c r="D55" s="26" t="n">
        <f aca="false">D54-D53</f>
        <v>-0.0103326328737635</v>
      </c>
      <c r="E55" s="26" t="n">
        <f aca="false">E54-E53</f>
        <v>0.00930830347406142</v>
      </c>
      <c r="F55" s="27" t="n">
        <f aca="false">F54-F53</f>
        <v>-0.0093631524108887</v>
      </c>
      <c r="G55" s="2" t="s">
        <v>127</v>
      </c>
    </row>
    <row r="56" customFormat="false" ht="15" hidden="false" customHeight="false" outlineLevel="0" collapsed="false">
      <c r="A56" s="7" t="s">
        <v>128</v>
      </c>
      <c r="B56" s="19" t="n">
        <f aca="false">(SUMIFS(Data!$F$2:$F$61,Data!$I$2:$I$61,1,Data!$H$2:$H$61,B$40)/(COUNTIFS(Data!$I$2:$I$61,1)/5))/(SUMIFS(Data!$E$2:$E$61,Data!$I$2:$I$61,1,Data!$H$2:$H$61,B$40)/(COUNTIFS(Data!$I$2:$I$61,1)/5))</f>
        <v>0.342148760330579</v>
      </c>
      <c r="C56" s="19" t="n">
        <f aca="false">(SUMIFS(Data!$F$2:$F$61,Data!$I$2:$I$61,1,Data!$H$2:$H$61,C$40)/(COUNTIFS(Data!$I$2:$I$61,1)/5))/(SUMIFS(Data!$E$2:$E$61,Data!$I$2:$I$61,1,Data!$H$2:$H$61,C$40)/(COUNTIFS(Data!$I$2:$I$61,1)/5))</f>
        <v>0.348547717842324</v>
      </c>
      <c r="D56" s="19" t="n">
        <f aca="false">(SUMIFS(Data!$F$2:$F$61,Data!$I$2:$I$61,1,Data!$H$2:$H$61,D$40)/(COUNTIFS(Data!$I$2:$I$61,1)/5))/(SUMIFS(Data!$E$2:$E$61,Data!$I$2:$I$61,1,Data!$H$2:$H$61,D$40)/(COUNTIFS(Data!$I$2:$I$61,1)/5))</f>
        <v>0.258730158730159</v>
      </c>
      <c r="E56" s="19" t="n">
        <f aca="false">(SUMIFS(Data!$F$2:$F$61,Data!$I$2:$I$61,1,Data!$H$2:$H$61,E$40)/(COUNTIFS(Data!$I$2:$I$61,1)/5))/(SUMIFS(Data!$E$2:$E$61,Data!$I$2:$I$61,1,Data!$H$2:$H$61,E$40)/(COUNTIFS(Data!$I$2:$I$61,1)/5))</f>
        <v>0.205882352941176</v>
      </c>
      <c r="F56" s="24" t="n">
        <f aca="false">(SUMIFS(Data!$F$2:$F$61,Data!$I$2:$I$61,1)/(COUNTIFS(Data!$I$2:$I$61,1)/5))/(SUMIFS(Data!$E$2:$E$61,Data!$I$2:$I$61,1)/(COUNTIFS(Data!$I$2:$I$61,1)/5))</f>
        <v>0.303656597774245</v>
      </c>
    </row>
    <row r="57" customFormat="false" ht="15" hidden="false" customHeight="false" outlineLevel="0" collapsed="false">
      <c r="A57" s="7" t="s">
        <v>129</v>
      </c>
      <c r="B57" s="19" t="n">
        <f aca="false">(SUMIFS(Data!$F$2:$F$61,Data!$J$2:$J$61,1,Data!$H$2:$H$61,B$40)/(COUNTIFS(Data!$J$2:$J$61,1)/5))/(SUMIFS(Data!$E$2:$E$61,Data!$J$2:$J$61,1,Data!$H$2:$H$61,B$40)/(COUNTIFS(Data!$J$2:$J$61,1)/5))</f>
        <v>0.33993399339934</v>
      </c>
      <c r="C57" s="19" t="n">
        <f aca="false">(SUMIFS(Data!$F$2:$F$61,Data!$J$2:$J$61,1,Data!$H$2:$H$61,C$40)/(COUNTIFS(Data!$J$2:$J$61,1)/5))/(SUMIFS(Data!$E$2:$E$61,Data!$J$2:$J$61,1,Data!$H$2:$H$61,C$40)/(COUNTIFS(Data!$J$2:$J$61,1)/5))</f>
        <v>0.33976833976834</v>
      </c>
      <c r="D57" s="19" t="n">
        <f aca="false">(SUMIFS(Data!$F$2:$F$61,Data!$J$2:$J$61,1,Data!$H$2:$H$61,D$40)/(COUNTIFS(Data!$J$2:$J$61,1)/5))/(SUMIFS(Data!$E$2:$E$61,Data!$J$2:$J$61,1,Data!$H$2:$H$61,D$40)/(COUNTIFS(Data!$J$2:$J$61,1)/5))</f>
        <v>0.259259259259259</v>
      </c>
      <c r="E57" s="19" t="n">
        <f aca="false">(SUMIFS(Data!$F$2:$F$61,Data!$J$2:$J$61,1,Data!$H$2:$H$61,E$40)/(COUNTIFS(Data!$J$2:$J$61,1)/5))/(SUMIFS(Data!$E$2:$E$61,Data!$J$2:$J$61,1,Data!$H$2:$H$61,E$40)/(COUNTIFS(Data!$J$2:$J$61,1)/5))</f>
        <v>0.193798449612403</v>
      </c>
      <c r="F57" s="24" t="n">
        <f aca="false">(SUMIFS(Data!$F$2:$F$61,Data!$J$2:$J$61,1)/(COUNTIFS(Data!$J$2:$J$61,1)/5))/(SUMIFS(Data!$E$2:$E$61,Data!$J$2:$J$61,1)/(COUNTIFS(Data!$J$2:$J$61,1)/5))</f>
        <v>0.293732460243218</v>
      </c>
    </row>
    <row r="58" customFormat="false" ht="15" hidden="false" customHeight="false" outlineLevel="0" collapsed="false">
      <c r="A58" s="7" t="s">
        <v>123</v>
      </c>
      <c r="B58" s="26" t="n">
        <f aca="false">B57-B56</f>
        <v>-0.00221476693123857</v>
      </c>
      <c r="C58" s="26" t="n">
        <f aca="false">C57-C56</f>
        <v>-0.00877937807398393</v>
      </c>
      <c r="D58" s="26" t="n">
        <f aca="false">D57-D56</f>
        <v>0.00052910052910049</v>
      </c>
      <c r="E58" s="26" t="n">
        <f aca="false">E57-E56</f>
        <v>-0.0120839033287733</v>
      </c>
      <c r="F58" s="27" t="n">
        <f aca="false">F57-F56</f>
        <v>-0.00992413753102683</v>
      </c>
      <c r="G58" s="2" t="s">
        <v>130</v>
      </c>
    </row>
    <row r="59" customFormat="false" ht="15" hidden="false" customHeight="false" outlineLevel="0" collapsed="false">
      <c r="A59" s="7" t="s">
        <v>131</v>
      </c>
      <c r="B59" s="19" t="n">
        <f aca="false">((SUMIFS(Data!$C$2:$C$61,Data!$I$2:$I$61,1,Data!$H$2:$H$61,D$40)/(COUNTIFS(Data!$I$2:$I$61,1)/5))+(SUMIFS(Data!$C$2:$C$61,Data!$I$2:$I$61,1,Data!$H$2:$H$61,E$40)/(COUNTIFS(Data!$I$2:$I$61,1)/5)))/(SUMIFS(Data!$C$2:$C$61,Data!$I$2:$I$61,1)/(COUNTIFS(Data!$I$2:$I$61,1)/5))</f>
        <v>0.569679732904662</v>
      </c>
      <c r="C59" s="19" t="n">
        <f aca="false">((SUMIFS(Data!$C$2:$C$61,Data!$J$2:$J$61,1,Data!$H$2:$H$61,D$40)/(COUNTIFS(Data!$J$2:$J$61,1)/5))+(SUMIFS(Data!$C$2:$C$61,Data!$J$2:$J$61,1,Data!$H$2:$H$61,E$40)/(COUNTIFS(Data!$J$2:$J$61,1)/5)))/(SUMIFS(Data!$C$2:$C$61,Data!$J$2:$J$61,1)/(COUNTIFS(Data!$J$2:$J$61,1)/5))</f>
        <v>0.614141020646669</v>
      </c>
      <c r="D59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6" min="5" style="0" width="17"/>
    <col collapsed="false" customWidth="true" hidden="false" outlineLevel="0" max="7" min="7" style="0" width="13"/>
    <col collapsed="false" customWidth="true" hidden="false" outlineLevel="0" max="8" min="8" style="0" width="72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30" hidden="false" customHeight="true" outlineLevel="0" collapsed="false">
      <c r="B4" s="9" t="s">
        <v>135</v>
      </c>
      <c r="C4" s="9" t="s">
        <v>47</v>
      </c>
      <c r="D4" s="9" t="s">
        <v>52</v>
      </c>
      <c r="E4" s="9" t="s">
        <v>55</v>
      </c>
      <c r="F4" s="9" t="s">
        <v>57</v>
      </c>
      <c r="G4" s="9" t="s">
        <v>101</v>
      </c>
      <c r="H4" s="9" t="s">
        <v>136</v>
      </c>
    </row>
    <row r="5" customFormat="false" ht="15" hidden="false" customHeight="false" outlineLevel="0" collapsed="false">
      <c r="B5" s="7" t="s">
        <v>44</v>
      </c>
      <c r="C5" s="28" t="s">
        <v>47</v>
      </c>
      <c r="D5" s="28" t="s">
        <v>52</v>
      </c>
      <c r="E5" s="28" t="s">
        <v>55</v>
      </c>
      <c r="F5" s="28" t="s">
        <v>57</v>
      </c>
    </row>
    <row r="6" customFormat="false" ht="15" hidden="false" customHeight="false" outlineLevel="0" collapsed="false">
      <c r="A6" s="5" t="s">
        <v>137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B7" s="7" t="s">
        <v>138</v>
      </c>
      <c r="C7" s="20" t="n">
        <f aca="false">(SUMIFS(Data!$C$2:$C$61,Data!$H$2:$H$61,C$5,Data!$J$2:$J$61,1)/(COUNTIFS(Data!$J$2:$J$61,1)/5))</f>
        <v>352.333333333333</v>
      </c>
      <c r="D7" s="20" t="n">
        <f aca="false">(SUMIFS(Data!$C$2:$C$61,Data!$H$2:$H$61,D$5,Data!$J$2:$J$61,1)/(COUNTIFS(Data!$J$2:$J$61,1)/5))</f>
        <v>308</v>
      </c>
      <c r="E7" s="20" t="n">
        <f aca="false">(SUMIFS(Data!$C$2:$C$61,Data!$H$2:$H$61,E$5,Data!$J$2:$J$61,1)/(COUNTIFS(Data!$J$2:$J$61,1)/5))</f>
        <v>707.666666666667</v>
      </c>
      <c r="F7" s="20" t="n">
        <f aca="false">(SUMIFS(Data!$C$2:$C$61,Data!$H$2:$H$61,F$5,Data!$J$2:$J$61,1)/(COUNTIFS(Data!$J$2:$J$61,1)/5))</f>
        <v>343.333333333333</v>
      </c>
      <c r="G7" s="25" t="n">
        <f aca="false">SUM(C7:F7)</f>
        <v>1711.33333333333</v>
      </c>
      <c r="H7" s="2" t="s">
        <v>139</v>
      </c>
    </row>
    <row r="8" customFormat="false" ht="15" hidden="false" customHeight="false" outlineLevel="0" collapsed="false">
      <c r="B8" s="7" t="s">
        <v>140</v>
      </c>
      <c r="C8" s="20" t="n">
        <f aca="false">(SUMIFS(Data!$D$2:$D$61,Data!$H$2:$H$61,C$5,Data!$J$2:$J$61,1)/(COUNTIFS(Data!$J$2:$J$61,1)/5))</f>
        <v>127</v>
      </c>
      <c r="D8" s="20" t="n">
        <f aca="false">(SUMIFS(Data!$D$2:$D$61,Data!$H$2:$H$61,D$5,Data!$J$2:$J$61,1)/(COUNTIFS(Data!$J$2:$J$61,1)/5))</f>
        <v>108.666666666667</v>
      </c>
      <c r="E8" s="20" t="n">
        <f aca="false">(SUMIFS(Data!$D$2:$D$61,Data!$H$2:$H$61,E$5,Data!$J$2:$J$61,1)/(COUNTIFS(Data!$J$2:$J$61,1)/5))</f>
        <v>181.666666666667</v>
      </c>
      <c r="F8" s="20" t="n">
        <f aca="false">(SUMIFS(Data!$D$2:$D$61,Data!$H$2:$H$61,F$5,Data!$J$2:$J$61,1)/(COUNTIFS(Data!$J$2:$J$61,1)/5))</f>
        <v>65.3333333333333</v>
      </c>
      <c r="G8" s="25" t="n">
        <f aca="false">SUM(C8:F8)</f>
        <v>482.666666666667</v>
      </c>
    </row>
    <row r="9" customFormat="false" ht="15" hidden="false" customHeight="false" outlineLevel="0" collapsed="false">
      <c r="B9" s="7" t="s">
        <v>92</v>
      </c>
      <c r="C9" s="19" t="n">
        <f aca="false">C8/C7</f>
        <v>0.360454115421003</v>
      </c>
      <c r="D9" s="19" t="n">
        <f aca="false">D8/D7</f>
        <v>0.352813852813853</v>
      </c>
      <c r="E9" s="19" t="n">
        <f aca="false">E8/E7</f>
        <v>0.256712199717381</v>
      </c>
      <c r="F9" s="19" t="n">
        <f aca="false">F8/F7</f>
        <v>0.190291262135922</v>
      </c>
      <c r="G9" s="24" t="n">
        <f aca="false">G8/G7</f>
        <v>0.282041293338527</v>
      </c>
      <c r="H9" s="2" t="s">
        <v>141</v>
      </c>
    </row>
    <row r="10" customFormat="false" ht="15" hidden="false" customHeight="false" outlineLevel="0" collapsed="false">
      <c r="B10" s="7" t="s">
        <v>142</v>
      </c>
      <c r="C10" s="19" t="n">
        <f aca="false">((SUMIFS(Data!$F$2:$F$61,Data!$H$2:$H$61,C$5,Data!$J$2:$J$61,1)/(COUNTIFS(Data!$J$2:$J$61,1)/5)))/C8</f>
        <v>0.270341207349081</v>
      </c>
      <c r="D10" s="19" t="n">
        <f aca="false">((SUMIFS(Data!$F$2:$F$61,Data!$H$2:$H$61,D$5,Data!$J$2:$J$61,1)/(COUNTIFS(Data!$J$2:$J$61,1)/5)))/D8</f>
        <v>0.269938650306748</v>
      </c>
      <c r="E10" s="19" t="n">
        <f aca="false">((SUMIFS(Data!$F$2:$F$61,Data!$H$2:$H$61,E$5,Data!$J$2:$J$61,1)/(COUNTIFS(Data!$J$2:$J$61,1)/5)))/E8</f>
        <v>0.179816513761468</v>
      </c>
      <c r="F10" s="19" t="n">
        <f aca="false">((SUMIFS(Data!$F$2:$F$61,Data!$H$2:$H$61,F$5,Data!$J$2:$J$61,1)/(COUNTIFS(Data!$J$2:$J$61,1)/5)))/F8</f>
        <v>0.127551020408163</v>
      </c>
      <c r="G10" s="24" t="n">
        <f aca="false">SUMPRODUCT(C8:F8,C10:F10)/G8</f>
        <v>0.216850828729282</v>
      </c>
      <c r="H10" s="2" t="s">
        <v>143</v>
      </c>
    </row>
    <row r="11" customFormat="false" ht="15" hidden="false" customHeight="false" outlineLevel="0" collapsed="false">
      <c r="B11" s="7" t="s">
        <v>96</v>
      </c>
      <c r="C11" s="18" t="n">
        <f aca="false">((SUMIFS(Data!$G$2:$G$61,Data!$H$2:$H$61,C$5,Data!$J$2:$J$61,1)/(COUNTIFS(Data!$J$2:$J$61,1)/5)))/((SUMIFS(Data!$F$2:$F$61,Data!$H$2:$H$61,C$5,Data!$J$2:$J$61,1)/(COUNTIFS(Data!$J$2:$J$61,1)/5)))</f>
        <v>3786.98058252427</v>
      </c>
      <c r="D11" s="18" t="n">
        <f aca="false">((SUMIFS(Data!$G$2:$G$61,Data!$H$2:$H$61,D$5,Data!$J$2:$J$61,1)/(COUNTIFS(Data!$J$2:$J$61,1)/5)))/((SUMIFS(Data!$F$2:$F$61,Data!$H$2:$H$61,D$5,Data!$J$2:$J$61,1)/(COUNTIFS(Data!$J$2:$J$61,1)/5)))</f>
        <v>9498.95454545455</v>
      </c>
      <c r="E11" s="18" t="n">
        <f aca="false">((SUMIFS(Data!$G$2:$G$61,Data!$H$2:$H$61,E$5,Data!$J$2:$J$61,1)/(COUNTIFS(Data!$J$2:$J$61,1)/5)))/((SUMIFS(Data!$F$2:$F$61,Data!$H$2:$H$61,E$5,Data!$J$2:$J$61,1)/(COUNTIFS(Data!$J$2:$J$61,1)/5)))</f>
        <v>12997.1326530612</v>
      </c>
      <c r="F11" s="18" t="n">
        <f aca="false">((SUMIFS(Data!$G$2:$G$61,Data!$H$2:$H$61,F$5,Data!$J$2:$J$61,1)/(COUNTIFS(Data!$J$2:$J$61,1)/5)))/((SUMIFS(Data!$F$2:$F$61,Data!$H$2:$H$61,F$5,Data!$J$2:$J$61,1)/(COUNTIFS(Data!$J$2:$J$61,1)/5)))</f>
        <v>23143.64</v>
      </c>
      <c r="G11" s="23" t="n">
        <f aca="false">SUMPRODUCT(C8:F8,C10:F10,C11:F11)/SUMPRODUCT(C8:F8,C10:F10)</f>
        <v>9803.42993630573</v>
      </c>
      <c r="H11" s="2" t="s">
        <v>144</v>
      </c>
    </row>
    <row r="13" customFormat="false" ht="15" hidden="false" customHeight="false" outlineLevel="0" collapsed="false">
      <c r="A13" s="5" t="s">
        <v>145</v>
      </c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B14" s="7" t="s">
        <v>146</v>
      </c>
      <c r="C14" s="29" t="n">
        <f aca="false">Inputs!C$20</f>
        <v>300</v>
      </c>
      <c r="D14" s="29" t="n">
        <f aca="false">Inputs!D$20</f>
        <v>200</v>
      </c>
      <c r="E14" s="29" t="n">
        <f aca="false">Inputs!E$20</f>
        <v>175</v>
      </c>
      <c r="F14" s="29" t="n">
        <f aca="false">Inputs!F$20</f>
        <v>125</v>
      </c>
    </row>
    <row r="15" customFormat="false" ht="15" hidden="false" customHeight="false" outlineLevel="0" collapsed="false">
      <c r="B15" s="7" t="s">
        <v>147</v>
      </c>
      <c r="C15" s="29" t="n">
        <f aca="false">Inputs!C$21</f>
        <v>45</v>
      </c>
      <c r="D15" s="29" t="n">
        <f aca="false">Inputs!D$21</f>
        <v>30</v>
      </c>
      <c r="E15" s="29" t="n">
        <f aca="false">Inputs!E$21</f>
        <v>20</v>
      </c>
      <c r="F15" s="29" t="n">
        <f aca="false">Inputs!F$21</f>
        <v>12</v>
      </c>
    </row>
    <row r="16" customFormat="false" ht="15" hidden="false" customHeight="false" outlineLevel="0" collapsed="false">
      <c r="B16" s="7" t="s">
        <v>148</v>
      </c>
      <c r="C16" s="30" t="n">
        <f aca="false">Inputs!C$22</f>
        <v>0.05</v>
      </c>
      <c r="D16" s="30" t="n">
        <f aca="false">Inputs!D$22</f>
        <v>0.15</v>
      </c>
      <c r="E16" s="30" t="n">
        <f aca="false">Inputs!E$22</f>
        <v>0.5</v>
      </c>
      <c r="F16" s="30" t="n">
        <f aca="false">Inputs!F$22</f>
        <v>1</v>
      </c>
    </row>
    <row r="17" customFormat="false" ht="15" hidden="false" customHeight="false" outlineLevel="0" collapsed="false">
      <c r="B17" s="7" t="s">
        <v>149</v>
      </c>
      <c r="C17" s="29" t="n">
        <f aca="false">Inputs!C$23</f>
        <v>30</v>
      </c>
      <c r="D17" s="29" t="n">
        <f aca="false">Inputs!D$23</f>
        <v>30</v>
      </c>
      <c r="E17" s="29" t="n">
        <f aca="false">Inputs!E$23</f>
        <v>30</v>
      </c>
      <c r="F17" s="29" t="n">
        <f aca="false">Inputs!F$23</f>
        <v>20</v>
      </c>
    </row>
    <row r="18" customFormat="false" ht="15" hidden="false" customHeight="false" outlineLevel="0" collapsed="false">
      <c r="B18" s="7" t="s">
        <v>70</v>
      </c>
      <c r="C18" s="30" t="n">
        <f aca="false">Inputs!C$24</f>
        <v>0.85</v>
      </c>
      <c r="D18" s="30" t="n">
        <f aca="false">Inputs!D$24</f>
        <v>0.85</v>
      </c>
      <c r="E18" s="30" t="n">
        <f aca="false">Inputs!E$24</f>
        <v>0.85</v>
      </c>
      <c r="F18" s="30" t="n">
        <f aca="false">Inputs!F$24</f>
        <v>0.85</v>
      </c>
    </row>
    <row r="20" customFormat="false" ht="15" hidden="false" customHeight="false" outlineLevel="0" collapsed="false">
      <c r="A20" s="5" t="s">
        <v>150</v>
      </c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B21" s="7" t="s">
        <v>151</v>
      </c>
      <c r="C21" s="31" t="n">
        <f aca="false">C7/(C14*C18)</f>
        <v>1.38169934640523</v>
      </c>
      <c r="D21" s="31" t="n">
        <f aca="false">D7/(D14*D18)</f>
        <v>1.81176470588235</v>
      </c>
      <c r="E21" s="31" t="n">
        <f aca="false">E7/(E14*E18)</f>
        <v>4.75742296918768</v>
      </c>
      <c r="F21" s="31" t="n">
        <f aca="false">F7/(F14*F18)</f>
        <v>3.23137254901961</v>
      </c>
      <c r="G21" s="32" t="n">
        <f aca="false">SUM(C21:F21)</f>
        <v>11.1822595704949</v>
      </c>
      <c r="H21" s="2" t="s">
        <v>152</v>
      </c>
    </row>
    <row r="22" customFormat="false" ht="15" hidden="false" customHeight="false" outlineLevel="0" collapsed="false">
      <c r="B22" s="7" t="s">
        <v>153</v>
      </c>
      <c r="C22" s="31" t="n">
        <f aca="false">C8/(C15*C18)</f>
        <v>3.3202614379085</v>
      </c>
      <c r="D22" s="31" t="n">
        <f aca="false">D8/(D15*D18)</f>
        <v>4.26143790849673</v>
      </c>
      <c r="E22" s="31" t="n">
        <f aca="false">E8/(E15*E18)</f>
        <v>10.6862745098039</v>
      </c>
      <c r="F22" s="31" t="n">
        <f aca="false">F8/(F15*F18)</f>
        <v>6.40522875816994</v>
      </c>
      <c r="G22" s="32" t="n">
        <f aca="false">SUM(C22:F22)</f>
        <v>24.6732026143791</v>
      </c>
      <c r="H22" s="2" t="s">
        <v>154</v>
      </c>
    </row>
    <row r="23" customFormat="false" ht="15" hidden="false" customHeight="false" outlineLevel="0" collapsed="false">
      <c r="B23" s="7" t="s">
        <v>155</v>
      </c>
      <c r="C23" s="31" t="n">
        <f aca="false">C8*C16/(C17*C18)</f>
        <v>0.249019607843137</v>
      </c>
      <c r="D23" s="31" t="n">
        <f aca="false">D8*D16/(D17*D18)</f>
        <v>0.63921568627451</v>
      </c>
      <c r="E23" s="31" t="n">
        <f aca="false">E8*E16/(E17*E18)</f>
        <v>3.56209150326797</v>
      </c>
      <c r="F23" s="31" t="n">
        <f aca="false">F8*F16/(F17*F18)</f>
        <v>3.84313725490196</v>
      </c>
      <c r="G23" s="32" t="n">
        <f aca="false">SUM(C23:F23)</f>
        <v>8.29346405228758</v>
      </c>
      <c r="H23" s="2" t="s">
        <v>156</v>
      </c>
    </row>
    <row r="25" customFormat="false" ht="15" hidden="false" customHeight="false" outlineLevel="0" collapsed="false">
      <c r="A25" s="5" t="s">
        <v>157</v>
      </c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B26" s="7" t="s">
        <v>158</v>
      </c>
      <c r="C26" s="33" t="n">
        <f aca="false">ROUNDUP(C21,0)</f>
        <v>2</v>
      </c>
      <c r="D26" s="33" t="n">
        <f aca="false">ROUNDUP(D21,0)</f>
        <v>2</v>
      </c>
      <c r="E26" s="33" t="n">
        <f aca="false">ROUNDUP(E21,0)</f>
        <v>5</v>
      </c>
      <c r="F26" s="33" t="n">
        <f aca="false">ROUNDUP(F21,0)</f>
        <v>4</v>
      </c>
      <c r="G26" s="34" t="n">
        <f aca="false">SUM(C26:F26)</f>
        <v>13</v>
      </c>
      <c r="H26" s="2" t="s">
        <v>159</v>
      </c>
    </row>
    <row r="27" customFormat="false" ht="15" hidden="false" customHeight="false" outlineLevel="0" collapsed="false">
      <c r="B27" s="7" t="s">
        <v>160</v>
      </c>
      <c r="C27" s="33" t="n">
        <f aca="false">ROUNDUP(C22,0)</f>
        <v>4</v>
      </c>
      <c r="D27" s="33" t="n">
        <f aca="false">ROUNDUP(D22,0)</f>
        <v>5</v>
      </c>
      <c r="E27" s="33" t="n">
        <f aca="false">ROUNDUP(E22,0)</f>
        <v>11</v>
      </c>
      <c r="F27" s="33" t="n">
        <f aca="false">ROUNDUP(F22,0)</f>
        <v>7</v>
      </c>
      <c r="G27" s="34" t="n">
        <f aca="false">SUM(C27:F27)</f>
        <v>27</v>
      </c>
      <c r="H27" s="2" t="s">
        <v>161</v>
      </c>
    </row>
    <row r="28" customFormat="false" ht="15" hidden="false" customHeight="false" outlineLevel="0" collapsed="false">
      <c r="B28" s="7" t="s">
        <v>162</v>
      </c>
      <c r="C28" s="35" t="n">
        <f aca="false">ROUNDUP(SUM(C23:E23),0)</f>
        <v>5</v>
      </c>
      <c r="D28" s="35"/>
      <c r="E28" s="35"/>
      <c r="F28" s="33" t="n">
        <f aca="false">ROUNDUP(F23,0)</f>
        <v>4</v>
      </c>
      <c r="G28" s="34" t="n">
        <f aca="false">C28+F28</f>
        <v>9</v>
      </c>
      <c r="H28" s="2" t="s">
        <v>163</v>
      </c>
    </row>
    <row r="29" customFormat="false" ht="15" hidden="false" customHeight="false" outlineLevel="0" collapsed="false">
      <c r="B29" s="21" t="s">
        <v>164</v>
      </c>
      <c r="G29" s="34" t="n">
        <f aca="false">G26+G27+G28</f>
        <v>49</v>
      </c>
    </row>
    <row r="30" customFormat="false" ht="15" hidden="false" customHeight="false" outlineLevel="0" collapsed="false">
      <c r="B30" s="7" t="s">
        <v>165</v>
      </c>
      <c r="C30" s="20" t="n">
        <f aca="false">C27/C26</f>
        <v>2</v>
      </c>
      <c r="D30" s="20" t="n">
        <f aca="false">D27/D26</f>
        <v>2.5</v>
      </c>
      <c r="E30" s="20" t="n">
        <f aca="false">E27/E26</f>
        <v>2.2</v>
      </c>
      <c r="F30" s="20" t="n">
        <f aca="false">F27/F26</f>
        <v>1.75</v>
      </c>
      <c r="G30" s="25" t="n">
        <f aca="false">G27/G26</f>
        <v>2.07692307692308</v>
      </c>
      <c r="H30" s="2" t="s">
        <v>166</v>
      </c>
    </row>
    <row r="31" customFormat="false" ht="15" hidden="false" customHeight="false" outlineLevel="0" collapsed="false">
      <c r="B31" s="7" t="s">
        <v>167</v>
      </c>
      <c r="C31" s="36" t="n">
        <f aca="false">SUM(C27:E27)/C28</f>
        <v>4</v>
      </c>
      <c r="D31" s="36"/>
      <c r="E31" s="36"/>
      <c r="F31" s="20" t="n">
        <f aca="false">F27/F28</f>
        <v>1.75</v>
      </c>
      <c r="G31" s="25" t="n">
        <f aca="false">G27/G28</f>
        <v>3</v>
      </c>
      <c r="H31" s="2" t="s">
        <v>168</v>
      </c>
    </row>
    <row r="32" customFormat="false" ht="15" hidden="false" customHeight="false" outlineLevel="0" collapsed="false">
      <c r="B32" s="7" t="s">
        <v>169</v>
      </c>
      <c r="C32" s="19" t="n">
        <f aca="false">C8/(C27*C15)</f>
        <v>0.705555555555556</v>
      </c>
      <c r="D32" s="19" t="n">
        <f aca="false">D8/(D27*D15)</f>
        <v>0.724444444444444</v>
      </c>
      <c r="E32" s="19" t="n">
        <f aca="false">E8/(E27*E15)</f>
        <v>0.825757575757576</v>
      </c>
      <c r="F32" s="19" t="n">
        <f aca="false">F8/(F27*F15)</f>
        <v>0.777777777777778</v>
      </c>
      <c r="G32" s="24" t="n">
        <f aca="false">G8/SUMPRODUCT(C27:F27,C15:F15)</f>
        <v>0.76130389064143</v>
      </c>
      <c r="H32" s="2" t="s">
        <v>170</v>
      </c>
    </row>
    <row r="34" customFormat="false" ht="15" hidden="false" customHeight="false" outlineLevel="0" collapsed="false">
      <c r="A34" s="5" t="s">
        <v>171</v>
      </c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B35" s="7" t="s">
        <v>172</v>
      </c>
      <c r="C35" s="18" t="n">
        <f aca="false">C8*C10*C11</f>
        <v>130019.666666667</v>
      </c>
      <c r="D35" s="18" t="n">
        <f aca="false">D8*D10*D11</f>
        <v>278636</v>
      </c>
      <c r="E35" s="18" t="n">
        <f aca="false">E8*E10*E11</f>
        <v>424573</v>
      </c>
      <c r="F35" s="18" t="n">
        <f aca="false">F8*F10*F11</f>
        <v>192863.666666667</v>
      </c>
      <c r="G35" s="23" t="n">
        <f aca="false">SUM(C35:F35)</f>
        <v>1026092.33333333</v>
      </c>
      <c r="H35" s="2" t="s">
        <v>173</v>
      </c>
    </row>
    <row r="36" customFormat="false" ht="15" hidden="false" customHeight="false" outlineLevel="0" collapsed="false">
      <c r="B36" s="7" t="s">
        <v>174</v>
      </c>
      <c r="C36" s="18" t="n">
        <f aca="false">C35*12</f>
        <v>1560236</v>
      </c>
      <c r="D36" s="18" t="n">
        <f aca="false">D35*12</f>
        <v>3343632</v>
      </c>
      <c r="E36" s="18" t="n">
        <f aca="false">E35*12</f>
        <v>5094876</v>
      </c>
      <c r="F36" s="18" t="n">
        <f aca="false">F35*12</f>
        <v>2314364</v>
      </c>
      <c r="G36" s="23" t="n">
        <f aca="false">SUM(C36:F36)</f>
        <v>12313108</v>
      </c>
      <c r="H36" s="2" t="s">
        <v>175</v>
      </c>
    </row>
    <row r="37" customFormat="false" ht="15" hidden="false" customHeight="false" outlineLevel="0" collapsed="false">
      <c r="B37" s="7" t="s">
        <v>176</v>
      </c>
      <c r="C37" s="18" t="n">
        <f aca="false">C36/C27</f>
        <v>390059</v>
      </c>
      <c r="D37" s="18" t="n">
        <f aca="false">D36/D27</f>
        <v>668726.4</v>
      </c>
      <c r="E37" s="18" t="n">
        <f aca="false">E36/E27</f>
        <v>463170.545454545</v>
      </c>
      <c r="F37" s="18" t="n">
        <f aca="false">F36/F27</f>
        <v>330623.428571429</v>
      </c>
      <c r="G37" s="23" t="n">
        <f aca="false">G36/G27</f>
        <v>456041.037037037</v>
      </c>
      <c r="H37" s="2" t="s">
        <v>177</v>
      </c>
    </row>
    <row r="39" customFormat="false" ht="15" hidden="false" customHeight="false" outlineLevel="0" collapsed="false">
      <c r="A39" s="5" t="s">
        <v>178</v>
      </c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B40" s="7" t="s">
        <v>179</v>
      </c>
      <c r="C40" s="19" t="n">
        <f aca="false">((SUMIFS(Data!$D$2:$D$61,Data!$H$2:$H$61,C$5,Data!$I$2:$I$61,1)/(COUNTIFS(Data!$I$2:$I$61,1)/5)))/((SUMIFS(Data!$C$2:$C$61,Data!$H$2:$H$61,C$5,Data!$I$2:$I$61,1)/(COUNTIFS(Data!$I$2:$I$61,1)/5)))</f>
        <v>0.395506792058516</v>
      </c>
      <c r="D40" s="19" t="n">
        <f aca="false">((SUMIFS(Data!$D$2:$D$61,Data!$H$2:$H$61,D$5,Data!$I$2:$I$61,1)/(COUNTIFS(Data!$I$2:$I$61,1)/5)))/((SUMIFS(Data!$C$2:$C$61,Data!$H$2:$H$61,D$5,Data!$I$2:$I$61,1)/(COUNTIFS(Data!$I$2:$I$61,1)/5)))</f>
        <v>0.389527458492976</v>
      </c>
      <c r="E40" s="19" t="n">
        <f aca="false">((SUMIFS(Data!$D$2:$D$61,Data!$H$2:$H$61,E$5,Data!$I$2:$I$61,1)/(COUNTIFS(Data!$I$2:$I$61,1)/5)))/((SUMIFS(Data!$C$2:$C$61,Data!$H$2:$H$61,E$5,Data!$I$2:$I$61,1)/(COUNTIFS(Data!$I$2:$I$61,1)/5)))</f>
        <v>0.274792754068161</v>
      </c>
      <c r="F40" s="19" t="n">
        <f aca="false">((SUMIFS(Data!$D$2:$D$61,Data!$H$2:$H$61,F$5,Data!$I$2:$I$61,1)/(COUNTIFS(Data!$I$2:$I$61,1)/5)))/((SUMIFS(Data!$C$2:$C$61,Data!$H$2:$H$61,F$5,Data!$I$2:$I$61,1)/(COUNTIFS(Data!$I$2:$I$61,1)/5)))</f>
        <v>0.194074074074074</v>
      </c>
    </row>
    <row r="41" customFormat="false" ht="15" hidden="false" customHeight="false" outlineLevel="0" collapsed="false">
      <c r="B41" s="7" t="s">
        <v>180</v>
      </c>
      <c r="C41" s="29" t="n">
        <f aca="false">Inputs!C$27</f>
        <v>1</v>
      </c>
      <c r="D41" s="29" t="n">
        <f aca="false">Inputs!D$27</f>
        <v>1</v>
      </c>
      <c r="E41" s="29" t="n">
        <f aca="false">Inputs!E$27</f>
        <v>1</v>
      </c>
      <c r="F41" s="29" t="n">
        <f aca="false">Inputs!F$27</f>
        <v>0</v>
      </c>
    </row>
    <row r="42" customFormat="false" ht="15" hidden="false" customHeight="false" outlineLevel="0" collapsed="false">
      <c r="B42" s="7" t="s">
        <v>181</v>
      </c>
      <c r="C42" s="19" t="n">
        <f aca="false">IF(C41=1,MAX(C9,C40),C9)</f>
        <v>0.395506792058516</v>
      </c>
      <c r="D42" s="19" t="n">
        <f aca="false">IF(D41=1,MAX(D9,D40),D9)</f>
        <v>0.389527458492976</v>
      </c>
      <c r="E42" s="19" t="n">
        <f aca="false">IF(E41=1,MAX(E9,E40),E9)</f>
        <v>0.274792754068161</v>
      </c>
      <c r="F42" s="19" t="n">
        <f aca="false">IF(F41=1,MAX(F9,F40),F9)</f>
        <v>0.190291262135922</v>
      </c>
      <c r="G42" s="24" t="n">
        <f aca="false">G43/G7</f>
        <v>0.303342241476445</v>
      </c>
    </row>
    <row r="43" customFormat="false" ht="15" hidden="false" customHeight="false" outlineLevel="0" collapsed="false">
      <c r="B43" s="7" t="s">
        <v>182</v>
      </c>
      <c r="C43" s="20" t="n">
        <f aca="false">C7*C42</f>
        <v>139.350226401951</v>
      </c>
      <c r="D43" s="20" t="n">
        <f aca="false">D7*D42</f>
        <v>119.974457215837</v>
      </c>
      <c r="E43" s="20" t="n">
        <f aca="false">E7*E42</f>
        <v>194.461672295568</v>
      </c>
      <c r="F43" s="20" t="n">
        <f aca="false">F7*F42</f>
        <v>65.3333333333333</v>
      </c>
      <c r="G43" s="25" t="n">
        <f aca="false">SUM(C43:F43)</f>
        <v>519.119689246689</v>
      </c>
      <c r="H43" s="2" t="s">
        <v>183</v>
      </c>
    </row>
    <row r="44" customFormat="false" ht="15" hidden="false" customHeight="false" outlineLevel="0" collapsed="false">
      <c r="B44" s="7" t="s">
        <v>184</v>
      </c>
      <c r="C44" s="31" t="n">
        <f aca="false">C43/(C15*C18)</f>
        <v>3.6431431739072</v>
      </c>
      <c r="D44" s="31" t="n">
        <f aca="false">D43/(D15*D18)</f>
        <v>4.70488067513085</v>
      </c>
      <c r="E44" s="31" t="n">
        <f aca="false">E43/(E15*E18)</f>
        <v>11.4389218997393</v>
      </c>
      <c r="F44" s="31" t="n">
        <f aca="false">F43/(F15*F18)</f>
        <v>6.40522875816994</v>
      </c>
      <c r="G44" s="32" t="n">
        <f aca="false">SUM(C44:F44)</f>
        <v>26.1921745069473</v>
      </c>
    </row>
    <row r="45" customFormat="false" ht="15" hidden="false" customHeight="false" outlineLevel="0" collapsed="false">
      <c r="B45" s="7" t="s">
        <v>185</v>
      </c>
      <c r="C45" s="31" t="n">
        <f aca="false">C43*C16/(C17*C18)</f>
        <v>0.27323573804304</v>
      </c>
      <c r="D45" s="31" t="n">
        <f aca="false">D43*D16/(D17*D18)</f>
        <v>0.705732101269627</v>
      </c>
      <c r="E45" s="31" t="n">
        <f aca="false">E43*E16/(E17*E18)</f>
        <v>3.81297396657977</v>
      </c>
      <c r="F45" s="31" t="n">
        <f aca="false">F43*F16/(F17*F18)</f>
        <v>3.84313725490196</v>
      </c>
      <c r="G45" s="32" t="n">
        <f aca="false">SUM(C45:F45)</f>
        <v>8.6350790607944</v>
      </c>
    </row>
    <row r="46" customFormat="false" ht="15" hidden="false" customHeight="false" outlineLevel="0" collapsed="false">
      <c r="B46" s="7" t="s">
        <v>186</v>
      </c>
      <c r="C46" s="33" t="n">
        <f aca="false">C26</f>
        <v>2</v>
      </c>
      <c r="D46" s="33" t="n">
        <f aca="false">D26</f>
        <v>2</v>
      </c>
      <c r="E46" s="33" t="n">
        <f aca="false">E26</f>
        <v>5</v>
      </c>
      <c r="F46" s="33" t="n">
        <f aca="false">F26</f>
        <v>4</v>
      </c>
      <c r="G46" s="34" t="n">
        <f aca="false">SUM(C46:F46)</f>
        <v>13</v>
      </c>
      <c r="H46" s="2" t="s">
        <v>187</v>
      </c>
    </row>
    <row r="47" customFormat="false" ht="15" hidden="false" customHeight="false" outlineLevel="0" collapsed="false">
      <c r="B47" s="7" t="s">
        <v>188</v>
      </c>
      <c r="C47" s="33" t="n">
        <f aca="false">ROUNDUP(C44,0)</f>
        <v>4</v>
      </c>
      <c r="D47" s="33" t="n">
        <f aca="false">ROUNDUP(D44,0)</f>
        <v>5</v>
      </c>
      <c r="E47" s="33" t="n">
        <f aca="false">ROUNDUP(E44,0)</f>
        <v>12</v>
      </c>
      <c r="F47" s="33" t="n">
        <f aca="false">ROUNDUP(F44,0)</f>
        <v>7</v>
      </c>
      <c r="G47" s="34" t="n">
        <f aca="false">SUM(C47:F47)</f>
        <v>28</v>
      </c>
    </row>
    <row r="48" customFormat="false" ht="15" hidden="false" customHeight="false" outlineLevel="0" collapsed="false">
      <c r="B48" s="7" t="s">
        <v>189</v>
      </c>
      <c r="C48" s="35" t="n">
        <f aca="false">ROUNDUP(SUM(C45:E45),0)</f>
        <v>5</v>
      </c>
      <c r="D48" s="35"/>
      <c r="E48" s="35"/>
      <c r="F48" s="33" t="n">
        <f aca="false">ROUNDUP(F45,0)</f>
        <v>4</v>
      </c>
      <c r="G48" s="34" t="n">
        <f aca="false">C48+F48</f>
        <v>9</v>
      </c>
    </row>
    <row r="49" customFormat="false" ht="15" hidden="false" customHeight="false" outlineLevel="0" collapsed="false">
      <c r="B49" s="21" t="s">
        <v>190</v>
      </c>
      <c r="G49" s="34" t="n">
        <f aca="false">G46+G47+G48</f>
        <v>50</v>
      </c>
    </row>
    <row r="50" customFormat="false" ht="15" hidden="false" customHeight="false" outlineLevel="0" collapsed="false">
      <c r="B50" s="7" t="s">
        <v>191</v>
      </c>
      <c r="C50" s="18" t="n">
        <f aca="false">C43*C10*C11*12</f>
        <v>1711962.51842893</v>
      </c>
      <c r="D50" s="18" t="n">
        <f aca="false">D43*D10*D11*12</f>
        <v>3691568.41407517</v>
      </c>
      <c r="E50" s="18" t="n">
        <f aca="false">E43*E10*E11*12</f>
        <v>5453714.35100123</v>
      </c>
      <c r="F50" s="18" t="n">
        <f aca="false">F43*F10*F11*12</f>
        <v>2314364</v>
      </c>
      <c r="G50" s="23" t="n">
        <f aca="false">SUM(C50:F50)</f>
        <v>13171609.2835053</v>
      </c>
      <c r="H50" s="2" t="s">
        <v>192</v>
      </c>
    </row>
    <row r="51" customFormat="false" ht="15" hidden="false" customHeight="false" outlineLevel="0" collapsed="false">
      <c r="B51" s="7" t="s">
        <v>193</v>
      </c>
      <c r="C51" s="18" t="n">
        <f aca="false">C50-C36</f>
        <v>151726.518428927</v>
      </c>
      <c r="D51" s="18" t="n">
        <f aca="false">D50-D36</f>
        <v>347936.414075171</v>
      </c>
      <c r="E51" s="18" t="n">
        <f aca="false">E50-E36</f>
        <v>358838.351001231</v>
      </c>
      <c r="F51" s="18" t="n">
        <f aca="false">F50-F36</f>
        <v>0</v>
      </c>
      <c r="G51" s="23" t="n">
        <f aca="false">SUM(C51:F51)</f>
        <v>858501.283505329</v>
      </c>
      <c r="H51" s="2" t="s">
        <v>194</v>
      </c>
    </row>
    <row r="52" customFormat="false" ht="15" hidden="false" customHeight="false" outlineLevel="0" collapsed="false">
      <c r="B52" s="7" t="s">
        <v>195</v>
      </c>
      <c r="C52" s="17" t="n">
        <f aca="false">C47-C27</f>
        <v>0</v>
      </c>
      <c r="D52" s="17" t="n">
        <f aca="false">D47-D27</f>
        <v>0</v>
      </c>
      <c r="E52" s="17" t="n">
        <f aca="false">E47-E27</f>
        <v>1</v>
      </c>
      <c r="F52" s="17" t="n">
        <f aca="false">F47-F27</f>
        <v>0</v>
      </c>
      <c r="G52" s="22" t="n">
        <f aca="false">SUM(C52:F52)</f>
        <v>1</v>
      </c>
    </row>
    <row r="53" customFormat="false" ht="15" hidden="false" customHeight="false" outlineLevel="0" collapsed="false">
      <c r="B53" s="21" t="s">
        <v>196</v>
      </c>
      <c r="G53" s="22" t="n">
        <f aca="false">G49-G29</f>
        <v>1</v>
      </c>
    </row>
    <row r="55" customFormat="false" ht="15" hidden="false" customHeight="false" outlineLevel="0" collapsed="false">
      <c r="A55" s="5" t="s">
        <v>197</v>
      </c>
      <c r="B55" s="6"/>
      <c r="C55" s="6"/>
      <c r="D55" s="6"/>
      <c r="E55" s="6"/>
      <c r="F55" s="6"/>
      <c r="G55" s="6"/>
      <c r="H55" s="6"/>
    </row>
    <row r="56" customFormat="false" ht="15" hidden="false" customHeight="false" outlineLevel="0" collapsed="false">
      <c r="B56" s="7" t="s">
        <v>198</v>
      </c>
      <c r="C56" s="11"/>
      <c r="D56" s="11"/>
      <c r="E56" s="11"/>
      <c r="F56" s="11"/>
    </row>
    <row r="57" customFormat="false" ht="15" hidden="false" customHeight="false" outlineLevel="0" collapsed="false">
      <c r="B57" s="7" t="s">
        <v>199</v>
      </c>
      <c r="C57" s="11"/>
      <c r="D57" s="11"/>
      <c r="E57" s="11"/>
      <c r="F57" s="11"/>
    </row>
    <row r="58" customFormat="false" ht="15" hidden="false" customHeight="false" outlineLevel="0" collapsed="false">
      <c r="B58" s="7" t="s">
        <v>200</v>
      </c>
      <c r="C58" s="11"/>
      <c r="F58" s="11"/>
    </row>
    <row r="59" customFormat="false" ht="15" hidden="false" customHeight="false" outlineLevel="0" collapsed="false">
      <c r="B59" s="7" t="s">
        <v>201</v>
      </c>
      <c r="C59" s="17" t="str">
        <f aca="false">IF(C56="","n/a",C26-C56)</f>
        <v>n/a</v>
      </c>
      <c r="D59" s="17" t="str">
        <f aca="false">IF(D56="","n/a",D26-D56)</f>
        <v>n/a</v>
      </c>
      <c r="E59" s="17" t="str">
        <f aca="false">IF(E56="","n/a",E26-E56)</f>
        <v>n/a</v>
      </c>
      <c r="F59" s="17" t="str">
        <f aca="false">IF(F56="","n/a",F26-F56)</f>
        <v>n/a</v>
      </c>
    </row>
    <row r="60" customFormat="false" ht="15" hidden="false" customHeight="false" outlineLevel="0" collapsed="false">
      <c r="B60" s="7" t="s">
        <v>202</v>
      </c>
      <c r="C60" s="17" t="str">
        <f aca="false">IF(C57="","n/a",C27-C57)</f>
        <v>n/a</v>
      </c>
      <c r="D60" s="17" t="str">
        <f aca="false">IF(D57="","n/a",D27-D57)</f>
        <v>n/a</v>
      </c>
      <c r="E60" s="17" t="str">
        <f aca="false">IF(E57="","n/a",E27-E57)</f>
        <v>n/a</v>
      </c>
      <c r="F60" s="17" t="str">
        <f aca="false">IF(F57="","n/a",F27-F57)</f>
        <v>n/a</v>
      </c>
    </row>
    <row r="61" customFormat="false" ht="15" hidden="false" customHeight="false" outlineLevel="0" collapsed="false">
      <c r="B61" s="7" t="s">
        <v>203</v>
      </c>
      <c r="C61" s="17" t="str">
        <f aca="false">IF(C58="","n/a",C28-C58)</f>
        <v>n/a</v>
      </c>
      <c r="F61" s="17" t="str">
        <f aca="false">IF(F58="","n/a",F28-F58)</f>
        <v>n/a</v>
      </c>
    </row>
    <row r="62" customFormat="false" ht="15" hidden="false" customHeight="false" outlineLevel="0" collapsed="false">
      <c r="B62" s="2" t="s">
        <v>204</v>
      </c>
    </row>
    <row r="64" customFormat="false" ht="15" hidden="false" customHeight="false" outlineLevel="0" collapsed="false">
      <c r="A64" s="5" t="s">
        <v>205</v>
      </c>
      <c r="B64" s="6"/>
      <c r="C64" s="6"/>
      <c r="D64" s="6"/>
      <c r="E64" s="6"/>
      <c r="F64" s="6"/>
      <c r="G64" s="6"/>
      <c r="H64" s="6"/>
    </row>
    <row r="65" customFormat="false" ht="15" hidden="false" customHeight="false" outlineLevel="0" collapsed="false">
      <c r="B65" s="21" t="s">
        <v>47</v>
      </c>
      <c r="C65" s="37" t="s">
        <v>206</v>
      </c>
      <c r="D65" s="37"/>
      <c r="E65" s="37"/>
      <c r="F65" s="37"/>
      <c r="G65" s="37"/>
      <c r="H65" s="37"/>
    </row>
    <row r="66" customFormat="false" ht="15" hidden="false" customHeight="false" outlineLevel="0" collapsed="false">
      <c r="B66" s="21" t="s">
        <v>52</v>
      </c>
      <c r="C66" s="37" t="s">
        <v>207</v>
      </c>
      <c r="D66" s="37"/>
      <c r="E66" s="37"/>
      <c r="F66" s="37"/>
      <c r="G66" s="37"/>
      <c r="H66" s="37"/>
    </row>
    <row r="67" customFormat="false" ht="15" hidden="false" customHeight="false" outlineLevel="0" collapsed="false">
      <c r="B67" s="21" t="s">
        <v>55</v>
      </c>
      <c r="C67" s="37" t="s">
        <v>208</v>
      </c>
      <c r="D67" s="37"/>
      <c r="E67" s="37"/>
      <c r="F67" s="37"/>
      <c r="G67" s="37"/>
      <c r="H67" s="37"/>
    </row>
    <row r="68" customFormat="false" ht="15" hidden="false" customHeight="false" outlineLevel="0" collapsed="false">
      <c r="B68" s="21" t="s">
        <v>57</v>
      </c>
      <c r="C68" s="37" t="s">
        <v>209</v>
      </c>
      <c r="D68" s="37"/>
      <c r="E68" s="37"/>
      <c r="F68" s="37"/>
      <c r="G68" s="37"/>
      <c r="H68" s="37"/>
    </row>
  </sheetData>
  <mergeCells count="7">
    <mergeCell ref="C28:E28"/>
    <mergeCell ref="C31:E31"/>
    <mergeCell ref="C48:E48"/>
    <mergeCell ref="C65:H65"/>
    <mergeCell ref="C66:H66"/>
    <mergeCell ref="C67:H67"/>
    <mergeCell ref="C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8"/>
  </cols>
  <sheetData>
    <row r="1" customFormat="false" ht="17.3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2" t="s">
        <v>211</v>
      </c>
    </row>
    <row r="4" customFormat="false" ht="30" hidden="false" customHeight="true" outlineLevel="0" collapsed="false">
      <c r="B4" s="9" t="s">
        <v>212</v>
      </c>
      <c r="C4" s="9" t="s">
        <v>213</v>
      </c>
      <c r="D4" s="9" t="s">
        <v>214</v>
      </c>
      <c r="E4" s="9" t="s">
        <v>215</v>
      </c>
      <c r="F4" s="9" t="s">
        <v>216</v>
      </c>
      <c r="G4" s="9" t="s">
        <v>217</v>
      </c>
    </row>
    <row r="5" customFormat="false" ht="15" hidden="false" customHeight="false" outlineLevel="0" collapsed="false">
      <c r="B5" s="7" t="s">
        <v>218</v>
      </c>
      <c r="C5" s="38" t="n">
        <v>115000</v>
      </c>
      <c r="D5" s="29" t="n">
        <f aca="false">Staffing!G26</f>
        <v>13</v>
      </c>
      <c r="E5" s="18" t="n">
        <f aca="false">C5*D5</f>
        <v>1495000</v>
      </c>
      <c r="F5" s="29" t="n">
        <f aca="false">Staffing!G46</f>
        <v>13</v>
      </c>
      <c r="G5" s="18" t="n">
        <f aca="false">C5*F5</f>
        <v>1495000</v>
      </c>
    </row>
    <row r="6" customFormat="false" ht="15" hidden="false" customHeight="false" outlineLevel="0" collapsed="false">
      <c r="B6" s="7" t="s">
        <v>219</v>
      </c>
      <c r="C6" s="38" t="n">
        <v>250000</v>
      </c>
      <c r="D6" s="29" t="n">
        <f aca="false">Staffing!G27</f>
        <v>27</v>
      </c>
      <c r="E6" s="18" t="n">
        <f aca="false">C6*D6</f>
        <v>6750000</v>
      </c>
      <c r="F6" s="29" t="n">
        <f aca="false">Staffing!G47</f>
        <v>28</v>
      </c>
      <c r="G6" s="18" t="n">
        <f aca="false">C6*F6</f>
        <v>7000000</v>
      </c>
    </row>
    <row r="7" customFormat="false" ht="15" hidden="false" customHeight="false" outlineLevel="0" collapsed="false">
      <c r="B7" s="7" t="s">
        <v>220</v>
      </c>
      <c r="C7" s="38" t="n">
        <v>265000</v>
      </c>
      <c r="D7" s="29" t="n">
        <f aca="false">Staffing!G28</f>
        <v>9</v>
      </c>
      <c r="E7" s="18" t="n">
        <f aca="false">C7*D7</f>
        <v>2385000</v>
      </c>
      <c r="F7" s="29" t="n">
        <f aca="false">Staffing!G48</f>
        <v>9</v>
      </c>
      <c r="G7" s="18" t="n">
        <f aca="false">C7*F7</f>
        <v>2385000</v>
      </c>
    </row>
    <row r="8" customFormat="false" ht="15" hidden="false" customHeight="false" outlineLevel="0" collapsed="false">
      <c r="B8" s="21" t="s">
        <v>101</v>
      </c>
      <c r="D8" s="22" t="n">
        <f aca="false">SUM(D5:D7)</f>
        <v>49</v>
      </c>
      <c r="E8" s="23" t="n">
        <f aca="false">SUM(E5:E7)</f>
        <v>10630000</v>
      </c>
      <c r="F8" s="22" t="n">
        <f aca="false">SUM(F5:F7)</f>
        <v>50</v>
      </c>
      <c r="G8" s="23" t="n">
        <f aca="false">SUM(G5:G7)</f>
        <v>10880000</v>
      </c>
    </row>
    <row r="10" customFormat="false" ht="15" hidden="false" customHeight="false" outlineLevel="0" collapsed="false">
      <c r="B10" s="2" t="s">
        <v>221</v>
      </c>
    </row>
    <row r="11" customFormat="false" ht="15" hidden="false" customHeight="false" outlineLevel="0" collapsed="false">
      <c r="B11" s="2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2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30" hidden="false" customHeight="true" outlineLevel="0" collapsed="false">
      <c r="B4" s="9" t="s">
        <v>225</v>
      </c>
      <c r="C4" s="9" t="s">
        <v>226</v>
      </c>
      <c r="D4" s="9" t="s">
        <v>227</v>
      </c>
      <c r="E4" s="9" t="s">
        <v>228</v>
      </c>
    </row>
    <row r="5" customFormat="false" ht="15" hidden="false" customHeight="false" outlineLevel="0" collapsed="false">
      <c r="B5" s="7" t="s">
        <v>229</v>
      </c>
      <c r="C5" s="39" t="n">
        <f aca="false">COUNTA(Data!$B$2:$B$61)</f>
        <v>60</v>
      </c>
      <c r="D5" s="31" t="n">
        <f aca="false">60</f>
        <v>60</v>
      </c>
      <c r="E5" s="40" t="b">
        <f aca="false">ABS(C5-D5)&lt;0.01</f>
        <v>1</v>
      </c>
    </row>
    <row r="6" customFormat="false" ht="15" hidden="false" customHeight="false" outlineLevel="0" collapsed="false">
      <c r="B6" s="7" t="s">
        <v>230</v>
      </c>
      <c r="C6" s="39" t="n">
        <f aca="false">Funnel!B10</f>
        <v>17152</v>
      </c>
      <c r="D6" s="31" t="n">
        <f aca="false">SUM(Data!$C$2:$C$61)</f>
        <v>17152</v>
      </c>
      <c r="E6" s="40" t="b">
        <f aca="false">ABS(C6-D6)&lt;0.01</f>
        <v>1</v>
      </c>
    </row>
    <row r="7" customFormat="false" ht="15" hidden="false" customHeight="false" outlineLevel="0" collapsed="false">
      <c r="B7" s="7" t="s">
        <v>231</v>
      </c>
      <c r="C7" s="39" t="n">
        <f aca="false">Funnel!F10</f>
        <v>10046367</v>
      </c>
      <c r="D7" s="31" t="n">
        <f aca="false">SUM(Data!$G$2:$G$61)</f>
        <v>10046367</v>
      </c>
      <c r="E7" s="40" t="b">
        <f aca="false">ABS(C7-D7)&lt;0.01</f>
        <v>1</v>
      </c>
    </row>
    <row r="8" customFormat="false" ht="15" hidden="false" customHeight="false" outlineLevel="0" collapsed="false">
      <c r="B8" s="7" t="s">
        <v>232</v>
      </c>
      <c r="C8" s="39" t="n">
        <f aca="false">Funnel!F19</f>
        <v>10046367</v>
      </c>
      <c r="D8" s="31" t="n">
        <f aca="false">Funnel!F10</f>
        <v>10046367</v>
      </c>
      <c r="E8" s="40" t="b">
        <f aca="false">ABS(C8-D8)&lt;0.01</f>
        <v>1</v>
      </c>
    </row>
    <row r="9" customFormat="false" ht="15" hidden="false" customHeight="false" outlineLevel="0" collapsed="false">
      <c r="B9" s="7" t="s">
        <v>233</v>
      </c>
      <c r="C9" s="39" t="n">
        <f aca="false">Funnel!E35</f>
        <v>10046367</v>
      </c>
      <c r="D9" s="31" t="n">
        <f aca="false">Funnel!F10</f>
        <v>10046367</v>
      </c>
      <c r="E9" s="40" t="b">
        <f aca="false">ABS(C9-D9)&lt;0.01</f>
        <v>1</v>
      </c>
    </row>
    <row r="10" customFormat="false" ht="15" hidden="false" customHeight="false" outlineLevel="0" collapsed="false">
      <c r="B10" s="7" t="s">
        <v>234</v>
      </c>
      <c r="C10" s="39" t="n">
        <f aca="false">Staffing!G7</f>
        <v>1711.33333333333</v>
      </c>
      <c r="D10" s="31" t="n">
        <f aca="false">SUMIFS(Data!$C$2:$C$61,Data!$J$2:$J$61,1)/(COUNTIFS(Data!$J$2:$J$61,1)/5)</f>
        <v>1711.33333333333</v>
      </c>
      <c r="E10" s="40" t="b">
        <f aca="false">ABS(C10-D10)&lt;0.01</f>
        <v>1</v>
      </c>
    </row>
    <row r="11" customFormat="false" ht="15" hidden="false" customHeight="false" outlineLevel="0" collapsed="false">
      <c r="B11" s="7" t="s">
        <v>235</v>
      </c>
      <c r="C11" s="39" t="n">
        <f aca="false">Staffing!G35</f>
        <v>1026092.33333333</v>
      </c>
      <c r="D11" s="31" t="n">
        <f aca="false">SUMIFS(Data!$G$2:$G$61,Data!$J$2:$J$61,1)/(COUNTIFS(Data!$J$2:$J$61,1)/5)</f>
        <v>1026092.33333333</v>
      </c>
      <c r="E11" s="40" t="b">
        <f aca="false">ABS(C11-D11)&lt;0.01</f>
        <v>1</v>
      </c>
    </row>
    <row r="12" customFormat="false" ht="15" hidden="false" customHeight="false" outlineLevel="0" collapsed="false">
      <c r="B12" s="7" t="s">
        <v>236</v>
      </c>
      <c r="C12" s="39" t="n">
        <f aca="false">Staffing!G7</f>
        <v>1711.33333333333</v>
      </c>
      <c r="D12" s="31" t="n">
        <f aca="false">Funnel!F42</f>
        <v>1711.33333333333</v>
      </c>
      <c r="E12" s="40" t="b">
        <f aca="false">ABS(C12-D12)&lt;0.01</f>
        <v>1</v>
      </c>
    </row>
    <row r="13" customFormat="false" ht="15" hidden="false" customHeight="false" outlineLevel="0" collapsed="false">
      <c r="B13" s="7" t="s">
        <v>237</v>
      </c>
      <c r="C13" s="39" t="n">
        <f aca="false">SUMPRODUCT((Staffing!C26:F26&lt;Staffing!C21:F21)*1)</f>
        <v>0</v>
      </c>
      <c r="D13" s="31" t="n">
        <f aca="false">0</f>
        <v>0</v>
      </c>
      <c r="E13" s="40" t="b">
        <f aca="false">ABS(C13-D13)&lt;0.01</f>
        <v>1</v>
      </c>
    </row>
    <row r="14" customFormat="false" ht="15" hidden="false" customHeight="false" outlineLevel="0" collapsed="false">
      <c r="B14" s="7" t="s">
        <v>238</v>
      </c>
      <c r="C14" s="39" t="n">
        <f aca="false">SUMPRODUCT((Staffing!C27:F27&lt;Staffing!C22:F22)*1)</f>
        <v>0</v>
      </c>
      <c r="D14" s="31" t="n">
        <f aca="false">0</f>
        <v>0</v>
      </c>
      <c r="E14" s="40" t="b">
        <f aca="false">ABS(C14-D14)&lt;0.01</f>
        <v>1</v>
      </c>
    </row>
    <row r="15" customFormat="false" ht="15" hidden="false" customHeight="false" outlineLevel="0" collapsed="false">
      <c r="B15" s="7" t="s">
        <v>239</v>
      </c>
      <c r="C15" s="39" t="n">
        <f aca="false">Staffing!C28</f>
        <v>5</v>
      </c>
      <c r="D15" s="31" t="n">
        <f aca="false">SUM(Staffing!C23:E23)</f>
        <v>4.45032679738562</v>
      </c>
      <c r="E15" s="40" t="b">
        <f aca="false">C15&gt;=D15-0.0001</f>
        <v>1</v>
      </c>
    </row>
    <row r="16" customFormat="false" ht="15" hidden="false" customHeight="false" outlineLevel="0" collapsed="false">
      <c r="B16" s="7" t="s">
        <v>240</v>
      </c>
      <c r="C16" s="39" t="n">
        <f aca="false">Staffing!F28</f>
        <v>4</v>
      </c>
      <c r="D16" s="31" t="n">
        <f aca="false">Staffing!F23</f>
        <v>3.84313725490196</v>
      </c>
      <c r="E16" s="40" t="b">
        <f aca="false">C16&gt;=D16-0.0001</f>
        <v>1</v>
      </c>
    </row>
    <row r="17" customFormat="false" ht="15" hidden="false" customHeight="false" outlineLevel="0" collapsed="false">
      <c r="B17" s="7" t="s">
        <v>241</v>
      </c>
      <c r="C17" s="39" t="n">
        <f aca="false">Staffing!G29</f>
        <v>49</v>
      </c>
      <c r="D17" s="31" t="n">
        <f aca="false">SUM(Staffing!G26:G28)</f>
        <v>49</v>
      </c>
      <c r="E17" s="40" t="b">
        <f aca="false">ABS(C17-D17)&lt;0.01</f>
        <v>1</v>
      </c>
    </row>
    <row r="18" customFormat="false" ht="15" hidden="false" customHeight="false" outlineLevel="0" collapsed="false">
      <c r="B18" s="7" t="s">
        <v>242</v>
      </c>
      <c r="C18" s="39" t="n">
        <f aca="false">Staffing!G49</f>
        <v>50</v>
      </c>
      <c r="D18" s="31" t="n">
        <f aca="false">Staffing!G29</f>
        <v>49</v>
      </c>
      <c r="E18" s="40" t="b">
        <f aca="false">C18&gt;=D18-0.0001</f>
        <v>1</v>
      </c>
    </row>
    <row r="19" customFormat="false" ht="15" hidden="false" customHeight="false" outlineLevel="0" collapsed="false">
      <c r="B19" s="7" t="s">
        <v>243</v>
      </c>
      <c r="C19" s="39" t="n">
        <f aca="false">Staffing!G50</f>
        <v>13171609.2835053</v>
      </c>
      <c r="D19" s="31" t="n">
        <f aca="false">Staffing!G36</f>
        <v>12313108</v>
      </c>
      <c r="E19" s="40" t="b">
        <f aca="false">C19&gt;=D19-0.0001</f>
        <v>1</v>
      </c>
    </row>
    <row r="20" customFormat="false" ht="15" hidden="false" customHeight="false" outlineLevel="0" collapsed="false">
      <c r="B20" s="7" t="s">
        <v>244</v>
      </c>
      <c r="C20" s="39" t="n">
        <f aca="false">Cost_Optional!D8</f>
        <v>49</v>
      </c>
      <c r="D20" s="31" t="n">
        <f aca="false">Staffing!G29</f>
        <v>49</v>
      </c>
      <c r="E20" s="40" t="b">
        <f aca="false">ABS(C20-D20)&lt;0.01</f>
        <v>1</v>
      </c>
    </row>
    <row r="22" customFormat="false" ht="15" hidden="false" customHeight="false" outlineLevel="0" collapsed="false">
      <c r="B22" s="21" t="s">
        <v>245</v>
      </c>
      <c r="E22" s="41" t="b">
        <f aca="false">AND(E5:E20)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2026-10-14T03:27:36Z</dcterms:created>
  <dc:creator>openpyxl</dc:creator>
  <dc:description/>
  <dc:language>en-US</dc:language>
  <cp:lastModifiedBy/>
  <dcterms:modified xsi:type="dcterms:W3CDTF">2026-10-14T03:27:38Z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