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Data" sheetId="3" state="visible" r:id="rId5"/>
    <sheet name="Seg_Map" sheetId="4" state="visible" r:id="rId6"/>
    <sheet name="Analysis" sheetId="5" state="visible" r:id="rId7"/>
    <sheet name="Segmentation" sheetId="6" state="visible" r:id="rId8"/>
    <sheet name="Demand" sheetId="7" state="visible" r:id="rId9"/>
    <sheet name="Scenario_Engine" sheetId="8" state="visible" r:id="rId10"/>
    <sheet name="Staffing" sheetId="9" state="visible" r:id="rId11"/>
    <sheet name="ENT_Economics" sheetId="10" state="visible" r:id="rId12"/>
    <sheet name="Sensitivity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<sst xmlns="http://schemas.openxmlformats.org/spreadsheetml/2006/main" count="945" uniqueCount="562">
  <si>
    <t xml:space="preserve">Rippling New-Business Revenue Staffing Model</t>
  </si>
  <si>
    <t xml:space="preserve">Case-study model built on the fictional dataset in the take-home exercise (Feb-2021 to Jan-2022, 5 employee-size buckets).</t>
  </si>
  <si>
    <t xml:space="preserve">PURPOSE</t>
  </si>
  <si>
    <t xml:space="preserve">Segment prospects by employee count and size the SDR / AE / SC capacity each segment needs. Then evaluate cost, expected ARR and scenarios.</t>
  </si>
  <si>
    <t xml:space="preserve">COLOR CODE</t>
  </si>
  <si>
    <t xml:space="preserve">Blue font = editable input / assumption. Black font = formula. Green font = link pulled from another sheet. Yellow fill = key assumption to review.</t>
  </si>
  <si>
    <t xml:space="preserve">ASSUMPTION STATUS</t>
  </si>
  <si>
    <t xml:space="preserve">Every capacity, ramp, quota, compensation and uplift input is ILLUSTRATIVE. None is a Rippling fact. Dataset-derived figures are calculated live from the 'Data' tab.</t>
  </si>
  <si>
    <t xml:space="preserve">FLOW</t>
  </si>
  <si>
    <t xml:space="preserve">Data -&gt; Analysis (diagnostics) -&gt; Segmentation (option comparison) -&gt; Demand (baseline by segment) -&gt; Scenario_Engine (all scenario math) -&gt; Staffing (base recommendation) -&gt; ENT_Economics / Sensitivity -&gt; Checks.</t>
  </si>
  <si>
    <t xml:space="preserve">Data</t>
  </si>
  <si>
    <t xml:space="preserve">60 monthly source rows (blue = source values from the CSV). Helper columns map each bucket to segments and flag the time windows set on the Inputs tab.</t>
  </si>
  <si>
    <t xml:space="preserve">Inputs</t>
  </si>
  <si>
    <t xml:space="preserve">ALL editable assumptions: time windows, capacity, utilization, ramp, quota, comp, scenario levers. Change these to re-run the model.</t>
  </si>
  <si>
    <t xml:space="preserve">Analysis</t>
  </si>
  <si>
    <t xml:space="preserve">Funnel by bucket, monthly trend, growth, mix effect, volume/conversion/deal-size decomposition, L2D-vs-volume correlation.</t>
  </si>
  <si>
    <t xml:space="preserve">Segmentation</t>
  </si>
  <si>
    <t xml:space="preserve">Compares the recommended 4-tier / 3-motion structure with two conventional 3-tier alternatives.</t>
  </si>
  <si>
    <t xml:space="preserve">Demand</t>
  </si>
  <si>
    <t xml:space="preserve">Monthly demand and observed funnel rates per segment for the baseline window (Aug-Oct-21), the stress month (Jan-22), the H1 reference (Feb-Jul-21) and the downside case.</t>
  </si>
  <si>
    <t xml:space="preserve">Scenario_Engine</t>
  </si>
  <si>
    <t xml:space="preserve">One column per segment per scenario. Shows every intermediate step: leads -&gt; demos -&gt; opps -&gt; logos -&gt; ARR, FTE required, cost, efficiency.</t>
  </si>
  <si>
    <t xml:space="preserve">Staffing</t>
  </si>
  <si>
    <t xml:space="preserve">Base-case recommendation. Fractional FTE -&gt; pooled and rounded headcount, ratios, cost, unit economics, and an optional current-headcount gap (enter your own).</t>
  </si>
  <si>
    <t xml:space="preserve">ENT_Economics</t>
  </si>
  <si>
    <t xml:space="preserve">Enterprise pod unit economics, breakeven win rate, pilot design and payback sensitivity grids.</t>
  </si>
  <si>
    <t xml:space="preserve">Sensitivity</t>
  </si>
  <si>
    <t xml:space="preserve">One-at-a-time flex of each major assumption and its effect on total FTE, cost, ARR and payback.</t>
  </si>
  <si>
    <t xml:space="preserve">Checks</t>
  </si>
  <si>
    <t xml:space="preserve">Reconciliation of the model to the source data plus internal integrity checks. All should read TRUE.</t>
  </si>
  <si>
    <t xml:space="preserve">KEY CAVEATS</t>
  </si>
  <si>
    <t xml:space="preserve">(1) Funnel rates divide same-month counts and are not cohort conversion. (2) No current headcount is in the data, so the model sizes REQUIRED capacity, not net-new hires. (3) The lead-to-demo decline has competing explanations (SDR capacity, lead quality, speed-to-lead, scheduling, AE availability). Its recovery is a scenario lever, not a forecast. (4) The Nov-Dec dip is seen in one year only and is not confirmed seasonality.</t>
  </si>
  <si>
    <t xml:space="preserve">Legend sample</t>
  </si>
  <si>
    <t xml:space="preserve">Blue = input (e.g., AE demo capacity 30 / month)</t>
  </si>
  <si>
    <t xml:space="preserve">Black = formula (e.g., AE FTE = demos / (capacity x utilization))</t>
  </si>
  <si>
    <t xml:space="preserve">Green = cross-sheet link (e.g., Staffing pulls FTE from Scenario_Engine)</t>
  </si>
  <si>
    <t xml:space="preserve">Inputs &amp; assumptions (all blue cells are editable; ILLUSTRATIVE unless stated)</t>
  </si>
  <si>
    <t xml:space="preserve">SF-based comp per case guidance. Validate comp with People/Comp team and capacity with Sales leadership before use.</t>
  </si>
  <si>
    <t xml:space="preserve">A. Time windows (drive all dataset-derived baselines)</t>
  </si>
  <si>
    <t xml:space="preserve">Baseline window start</t>
  </si>
  <si>
    <t xml:space="preserve">Primary demand baseline = average of Aug-Oct 2021. These are the latest 3 months before the Nov-Dec dip.</t>
  </si>
  <si>
    <t xml:space="preserve">Baseline window end</t>
  </si>
  <si>
    <t xml:space="preserve">Excluding Nov-Dec means planning to non-trough demand. See Demand tab note.</t>
  </si>
  <si>
    <t xml:space="preserve">Stress-test month</t>
  </si>
  <si>
    <t xml:space="preserve">Jan-22 = highest-demand month observed. Used as the capacity stress test.</t>
  </si>
  <si>
    <t xml:space="preserve">Reference period start (L2D recovery target)</t>
  </si>
  <si>
    <t xml:space="preserve">Feb-Jul 2021 L2D is the 'pre-erosion' reference.</t>
  </si>
  <si>
    <t xml:space="preserve">Reference period end</t>
  </si>
  <si>
    <t xml:space="preserve">Trough window start</t>
  </si>
  <si>
    <t xml:space="preserve">Nov-Dec 2021 dip. Seen ONCE, so it is not confirmed seasonality.</t>
  </si>
  <si>
    <t xml:space="preserve">Trough window end</t>
  </si>
  <si>
    <t xml:space="preserve">Decomposition early window start</t>
  </si>
  <si>
    <t xml:space="preserve">Volume / conversion / deal-size decomposition compares Feb-Apr with the baseline window.</t>
  </si>
  <si>
    <t xml:space="preserve">Decomposition early window end</t>
  </si>
  <si>
    <t xml:space="preserve">B. Global operating assumptions</t>
  </si>
  <si>
    <t xml:space="preserve">Target utilization of capacity</t>
  </si>
  <si>
    <t xml:space="preserve">Illustrative. 15% buffer for PTO, training, admin, internal meetings and demand spikes. Applied to every role.</t>
  </si>
  <si>
    <t xml:space="preserve">Working days per year</t>
  </si>
  <si>
    <t xml:space="preserve">Illustrative (52 wks x 5 days less ~10 holidays). Used to express monthly capacity as per-day activity.</t>
  </si>
  <si>
    <t xml:space="preserve">Months per year</t>
  </si>
  <si>
    <t xml:space="preserve">Annualization of monthly run-rates.</t>
  </si>
  <si>
    <t xml:space="preserve">Fully loaded cost multiplier on OTE</t>
  </si>
  <si>
    <t xml:space="preserve">Illustrative. Benefits, payroll tax, equipment, T&amp;E. Excludes management overhead and recruiting.</t>
  </si>
  <si>
    <t xml:space="preserve">Gross margin on ARR (for payback)</t>
  </si>
  <si>
    <t xml:space="preserve">Illustrative SaaS gross margin. Used only for payback months.</t>
  </si>
  <si>
    <t xml:space="preserve">Payback hurdle (months)</t>
  </si>
  <si>
    <t xml:space="preserve">Illustrative investment hurdle for ENT gating.</t>
  </si>
  <si>
    <t xml:space="preserve">Rounding threshold for headcount</t>
  </si>
  <si>
    <t xml:space="preserve">A pool's fractional FTE is rounded UP when the fraction is &gt;= this value, otherwise DOWN. The 85% utilization already gives a buffer.</t>
  </si>
  <si>
    <t xml:space="preserve">Productivity during ramp (avg)</t>
  </si>
  <si>
    <t xml:space="preserve">Illustrative. A new hire averages 50% productivity during the ramp months.</t>
  </si>
  <si>
    <t xml:space="preserve">SDR OTE (SF)</t>
  </si>
  <si>
    <t xml:space="preserve">Illustrative SF SDR on-target earnings. Validate with Comp.</t>
  </si>
  <si>
    <t xml:space="preserve">SDR ramp (months)</t>
  </si>
  <si>
    <t xml:space="preserve">Illustrative.</t>
  </si>
  <si>
    <t xml:space="preserve">SC ramp (months)</t>
  </si>
  <si>
    <t xml:space="preserve">Downside demand haircut vs baseline</t>
  </si>
  <si>
    <t xml:space="preserve">Illustrative. Assumed lead pull-back (e.g., lower marketing spend). This is NOT a forecast.</t>
  </si>
  <si>
    <t xml:space="preserve">Months per year in trough (if trough applied)</t>
  </si>
  <si>
    <t xml:space="preserve">Used only in scenarios with the trough toggle on.</t>
  </si>
  <si>
    <t xml:space="preserve">C. Segment assumptions</t>
  </si>
  <si>
    <t xml:space="preserve">Assumption</t>
  </si>
  <si>
    <t xml:space="preserve">Velocity (1-50)</t>
  </si>
  <si>
    <t xml:space="preserve">Emerging MM (51-100)</t>
  </si>
  <si>
    <t xml:space="preserve">Core MM (101-500)</t>
  </si>
  <si>
    <t xml:space="preserve">Enterprise (501+)</t>
  </si>
  <si>
    <t xml:space="preserve">Rationale / source</t>
  </si>
  <si>
    <t xml:space="preserve">SDR capacity: high-intent leads worked / ramped month</t>
  </si>
  <si>
    <t xml:space="preserve">Illustrative. Covers speed-to-lead outreach, qualification and booking. Larger accounts need more research and multi-threading. 200/mo = ~10 new leads/day.</t>
  </si>
  <si>
    <t xml:space="preserve">AE capacity: demos held / ramped month</t>
  </si>
  <si>
    <t xml:space="preserve">Illustrative. Includes follow-up and pipeline management for the demos held. Velocity ~2/day; Enterprise demos are multi-session.</t>
  </si>
  <si>
    <t xml:space="preserve">SC involvement: share of demos needing an SC</t>
  </si>
  <si>
    <t xml:space="preserve">Illustrative. Rises with complexity proxies: D-&gt;Q falls from 80% to 65% and demos per logo rise from 3.7 to 7.8.</t>
  </si>
  <si>
    <t xml:space="preserve">SC capacity: SC-supported demos / ramped month</t>
  </si>
  <si>
    <t xml:space="preserve">Illustrative. ENT engagements are deeper (discovery, custom demo, security review). Standard ENT coverage = ~1 SC : 1.7 AE.</t>
  </si>
  <si>
    <t xml:space="preserve">AE ramp (months)</t>
  </si>
  <si>
    <t xml:space="preserve">Illustrative. Longer cycles mean longer ramp.</t>
  </si>
  <si>
    <t xml:space="preserve">AE OTE (SF)</t>
  </si>
  <si>
    <t xml:space="preserve">Illustrative SF AE on-target earnings by segment. Validate with Comp.</t>
  </si>
  <si>
    <t xml:space="preserve">SC OTE (SF)</t>
  </si>
  <si>
    <t xml:space="preserve">Illustrative SF Solution Consultant OTE. ENT SCs are more senior.</t>
  </si>
  <si>
    <t xml:space="preserve">AE annual new-ARR quota (cross-check only)</t>
  </si>
  <si>
    <t xml:space="preserve">Illustrative. Used ONLY for the quota cross-check. It does not drive workload headcount.</t>
  </si>
  <si>
    <t xml:space="preserve">Expected quota attainment (cross-check only)</t>
  </si>
  <si>
    <t xml:space="preserve">Illustrative planning attainment.</t>
  </si>
  <si>
    <t xml:space="preserve">L2D-recovery lever applies? (1/0)</t>
  </si>
  <si>
    <t xml:space="preserve">ENT = 0. Its L2D did not erode as volume tripled, so its bottleneck is win rate.</t>
  </si>
  <si>
    <t xml:space="preserve">Win-rate (SC pilot) lever applies? (1/0)</t>
  </si>
  <si>
    <t xml:space="preserve">The SC-paired pilot is scoped to Enterprise only.</t>
  </si>
  <si>
    <t xml:space="preserve">D. Enterprise SC-paired pilot</t>
  </si>
  <si>
    <t xml:space="preserve">Share of ENT demos covered by SC-paired pilot</t>
  </si>
  <si>
    <t xml:space="preserve">Illustrative. ~2 of ~6 ENT AEs (see pilot AEs below); the rest form the control group.</t>
  </si>
  <si>
    <t xml:space="preserve">Pilot SC capacity (demos / month, ~1:1 pairing)</t>
  </si>
  <si>
    <t xml:space="preserve">Illustrative. Dedicated SC per AE. This is the cost of the pilot.</t>
  </si>
  <si>
    <t xml:space="preserve">Pilot AEs (for pilot sizing)</t>
  </si>
  <si>
    <t xml:space="preserve">Illustrative pod size.</t>
  </si>
  <si>
    <t xml:space="preserve">Pilot duration (months)</t>
  </si>
  <si>
    <t xml:space="preserve">Two quarters, about one ENT sales cycle.</t>
  </si>
  <si>
    <t xml:space="preserve">ENT scale gate passed? (1 = pilot met gates)</t>
  </si>
  <si>
    <t xml:space="preserve">0 = ENT AE/SC pools round DOWN (fund to the floor of required capacity). Set to 1 once the pilot clears the gates on ENT_Economics.</t>
  </si>
  <si>
    <t xml:space="preserve">E. Scenario levers</t>
  </si>
  <si>
    <t xml:space="preserve">Lever</t>
  </si>
  <si>
    <t xml:space="preserve">Conservative</t>
  </si>
  <si>
    <t xml:space="preserve">Base</t>
  </si>
  <si>
    <t xml:space="preserve">Upside</t>
  </si>
  <si>
    <t xml:space="preserve">Stress test</t>
  </si>
  <si>
    <t xml:space="preserve">Definition</t>
  </si>
  <si>
    <t xml:space="preserve">Demand case (1=Downside, 2=Baseline Aug-Oct, 3=Stress Jan-22)</t>
  </si>
  <si>
    <t xml:space="preserve">Upside holds demand at baseline, so the upside comes from conversion only. Stress tests capacity at Jan-22 demand.</t>
  </si>
  <si>
    <t xml:space="preserve">L2D recovery: % of gap to Feb-Jul reference closed</t>
  </si>
  <si>
    <t xml:space="preserve">SCENARIO, not forecast. The decline may be lead quality, not capacity. At 0% there is no uplift (see Sensitivity).</t>
  </si>
  <si>
    <t xml:space="preserve">ENT win-rate uplift for pilot-covered opps (pts)</t>
  </si>
  <si>
    <t xml:space="preserve">SCENARIO. Applied to the pilot-covered share of ENT opps only.</t>
  </si>
  <si>
    <t xml:space="preserve">Apply Nov-Dec trough to annual ARR? (1/0)</t>
  </si>
  <si>
    <t xml:space="preserve">Conservative assumes the trough recurs. The other scenarios annualize the non-trough run-rate.</t>
  </si>
  <si>
    <t xml:space="preserve">Scenario description</t>
  </si>
  <si>
    <t xml:space="preserve">Downside demand, partial recovery, no win-rate gain, trough recurs</t>
  </si>
  <si>
    <t xml:space="preserve">Aug-Oct demand, half of L2D gap recovered, +3pt ENT win rate on pilot</t>
  </si>
  <si>
    <t xml:space="preserve">Aug-Oct demand, full L2D recovery, +6pt ENT win rate on pilot</t>
  </si>
  <si>
    <t xml:space="preserve">Jan-22 demand &amp; rates, base levers (capacity stress test)</t>
  </si>
  <si>
    <t xml:space="preserve">F. Current headcount (optional; NOT in dataset)</t>
  </si>
  <si>
    <t xml:space="preserve">Enter current ramped HC in the Staffing tab (Section F) to see the incremental hiring gap.</t>
  </si>
  <si>
    <t xml:space="preserve">Month</t>
  </si>
  <si>
    <t xml:space="preserve">FTE bucket</t>
  </si>
  <si>
    <t xml:space="preserve">Leads</t>
  </si>
  <si>
    <t xml:space="preserve">Demos</t>
  </si>
  <si>
    <t xml:space="preserve">Qual Opps</t>
  </si>
  <si>
    <t xml:space="preserve">Logos</t>
  </si>
  <si>
    <t xml:space="preserve">ARR ($)</t>
  </si>
  <si>
    <t xml:space="preserve">Segment (4-tier)</t>
  </si>
  <si>
    <t xml:space="preserve">Motion</t>
  </si>
  <si>
    <t xml:space="preserve">Option A seg</t>
  </si>
  <si>
    <t xml:space="preserve">Option B seg</t>
  </si>
  <si>
    <t xml:space="preserve">Baseline win (1/0)</t>
  </si>
  <si>
    <t xml:space="preserve">Stress (1/0)</t>
  </si>
  <si>
    <t xml:space="preserve">Reference H1 (1/0)</t>
  </si>
  <si>
    <t xml:space="preserve">Trough (1/0)</t>
  </si>
  <si>
    <t xml:space="preserve">Early win (1/0)</t>
  </si>
  <si>
    <t xml:space="preserve">1-10</t>
  </si>
  <si>
    <t xml:space="preserve">11-50</t>
  </si>
  <si>
    <t xml:space="preserve">51-100</t>
  </si>
  <si>
    <t xml:space="preserve">101-500</t>
  </si>
  <si>
    <t xml:space="preserve">501+</t>
  </si>
  <si>
    <t xml:space="preserve">Segment mapping (editable)</t>
  </si>
  <si>
    <t xml:space="preserve">Maps each dataset bucket to a segment. Change the blue labels to test a different structure; Segmentation tab compares options.</t>
  </si>
  <si>
    <t xml:space="preserve">Recommended segment (4-tier)</t>
  </si>
  <si>
    <t xml:space="preserve">Sales motion (3)</t>
  </si>
  <si>
    <t xml:space="preserve">Option A: Conventional 3-tier</t>
  </si>
  <si>
    <t xml:space="preserve">Option B: Alt 3-tier</t>
  </si>
  <si>
    <t xml:space="preserve">Sort</t>
  </si>
  <si>
    <t xml:space="preserve">Velocity</t>
  </si>
  <si>
    <t xml:space="preserve">SMB (1-100)</t>
  </si>
  <si>
    <t xml:space="preserve">SMB (1-50)</t>
  </si>
  <si>
    <t xml:space="preserve">Mid-Market</t>
  </si>
  <si>
    <t xml:space="preserve">MM (51-500)</t>
  </si>
  <si>
    <t xml:space="preserve">MM (101-500)</t>
  </si>
  <si>
    <t xml:space="preserve">Enterprise</t>
  </si>
  <si>
    <t xml:space="preserve">ENT (501+)</t>
  </si>
  <si>
    <t xml:space="preserve">Funnel diagnostics (all formulas on the Data tab)</t>
  </si>
  <si>
    <t xml:space="preserve">Rates = aggregated numerator / aggregated denominator. Same-month ratios, NOT cohort conversion.</t>
  </si>
  <si>
    <t xml:space="preserve">A. 12-month funnel by employee-size bucket</t>
  </si>
  <si>
    <t xml:space="preserve">Bucket</t>
  </si>
  <si>
    <t xml:space="preserve">ARR</t>
  </si>
  <si>
    <t xml:space="preserve">L-&gt;Demo</t>
  </si>
  <si>
    <t xml:space="preserve">Demo-&gt;Opp</t>
  </si>
  <si>
    <t xml:space="preserve">Opp-&gt;Win</t>
  </si>
  <si>
    <t xml:space="preserve">Lead-&gt;Win</t>
  </si>
  <si>
    <t xml:space="preserve">ARR / logo</t>
  </si>
  <si>
    <t xml:space="preserve">ARR / lead</t>
  </si>
  <si>
    <t xml:space="preserve">ARR share</t>
  </si>
  <si>
    <t xml:space="preserve">Lead share</t>
  </si>
  <si>
    <t xml:space="preserve">Logo share</t>
  </si>
  <si>
    <t xml:space="preserve">Leads / logo</t>
  </si>
  <si>
    <t xml:space="preserve">Demos / logo</t>
  </si>
  <si>
    <t xml:space="preserve">Total</t>
  </si>
  <si>
    <t xml:space="preserve">B. Monthly totals (all buckets)</t>
  </si>
  <si>
    <t xml:space="preserve">Trough?</t>
  </si>
  <si>
    <t xml:space="preserve">C1. Lead-&gt;Demo by bucket by month</t>
  </si>
  <si>
    <t xml:space="preserve">C2. Leads by bucket by month</t>
  </si>
  <si>
    <t xml:space="preserve">C3. Opp-&gt;Win by bucket by month</t>
  </si>
  <si>
    <t xml:space="preserve">C4. ARR per logo by bucket by month</t>
  </si>
  <si>
    <t xml:space="preserve">C5. Lead-&gt;Demo excl. trough months (blank = trough)</t>
  </si>
  <si>
    <t xml:space="preserve">C6. Leads excl. trough months (blank = trough)</t>
  </si>
  <si>
    <t xml:space="preserve">D. Growth, mix and volume-sensitivity</t>
  </si>
  <si>
    <t xml:space="preserve">Metric</t>
  </si>
  <si>
    <t xml:space="preserve">Note</t>
  </si>
  <si>
    <t xml:space="preserve">Leads: first month (Feb-21)</t>
  </si>
  <si>
    <t xml:space="preserve">Leads: last month (Jan-22)</t>
  </si>
  <si>
    <t xml:space="preserve">Leads growth Feb-21 -&gt; Jan-22</t>
  </si>
  <si>
    <t xml:space="preserve">ARR: Feb-21</t>
  </si>
  <si>
    <t xml:space="preserve">ARR: Jan-22</t>
  </si>
  <si>
    <t xml:space="preserve">ARR growth Feb-21 -&gt; Jan-22</t>
  </si>
  <si>
    <t xml:space="preserve">Corr(leads, L2D) excl. trough</t>
  </si>
  <si>
    <t xml:space="preserve">Negative = L2D falls in high-volume months, consistent with a capacity ceiling (hypothesis). Not proof of causation.</t>
  </si>
  <si>
    <t xml:space="preserve">L2D reference (Feb-Jul)</t>
  </si>
  <si>
    <t xml:space="preserve">L2D baseline window (Aug-Oct)</t>
  </si>
  <si>
    <t xml:space="preserve">L2D change (pts)</t>
  </si>
  <si>
    <t xml:space="preserve">Within-segment erosion in buckets &lt;=500. 501+ is flat.</t>
  </si>
  <si>
    <t xml:space="preserve">E. Mix effect on blended Lead-&gt;Demo (Feb-21 vs Jan-22)</t>
  </si>
  <si>
    <t xml:space="preserve">Blended L2D Feb-21</t>
  </si>
  <si>
    <t xml:space="preserve">Blended L2D Jan-22</t>
  </si>
  <si>
    <t xml:space="preserve">Jan-22 bucket rates at Feb-21 lead mix</t>
  </si>
  <si>
    <t xml:space="preserve">Total change (pts)</t>
  </si>
  <si>
    <t xml:space="preserve">  of which within-bucket rate decline</t>
  </si>
  <si>
    <t xml:space="preserve">  of which mix shift to larger accounts</t>
  </si>
  <si>
    <t xml:space="preserve">F. ARR change decomposition: early window (Feb-Apr-21) vs baseline window (Aug-Oct-21), LMDI by bucket</t>
  </si>
  <si>
    <t xml:space="preserve">Leads early</t>
  </si>
  <si>
    <t xml:space="preserve">Logos early</t>
  </si>
  <si>
    <t xml:space="preserve">ARR early</t>
  </si>
  <si>
    <t xml:space="preserve">Leads base</t>
  </si>
  <si>
    <t xml:space="preserve">Logos base</t>
  </si>
  <si>
    <t xml:space="preserve">ARR base</t>
  </si>
  <si>
    <t xml:space="preserve">Delta ARR</t>
  </si>
  <si>
    <t xml:space="preserve">Volume effect</t>
  </si>
  <si>
    <t xml:space="preserve">Conversion effect</t>
  </si>
  <si>
    <t xml:space="preserve">Deal-size effect</t>
  </si>
  <si>
    <t xml:space="preserve">Check</t>
  </si>
  <si>
    <t xml:space="preserve">Reading: ARR growth is volume-led. Conversion is a drag and deal size is a tailwind (upmarket ASP). Window sums are 3-month totals.</t>
  </si>
  <si>
    <t xml:space="preserve">G. Illustrative demo gap: H2 non-trough months at Feb-Jul L2D (scenario, not a forecast)</t>
  </si>
  <si>
    <t xml:space="preserve">H2 leads (non-trough)</t>
  </si>
  <si>
    <t xml:space="preserve">H2 demos actual</t>
  </si>
  <si>
    <t xml:space="preserve">Ref L2D</t>
  </si>
  <si>
    <t xml:space="preserve">Demos at ref L2D</t>
  </si>
  <si>
    <t xml:space="preserve">Demo gap</t>
  </si>
  <si>
    <t xml:space="preserve">Ref Demo-&gt;Win</t>
  </si>
  <si>
    <t xml:space="preserve">H2 ARR/logo</t>
  </si>
  <si>
    <t xml:space="preserve">Implied ARR gap</t>
  </si>
  <si>
    <t xml:space="preserve">4 months (Aug, Sep, Oct, Jan). Assumes downstream conversion would hold for the extra demos; 501+ shows no gap.</t>
  </si>
  <si>
    <t xml:space="preserve">Segmentation options compared (formula-driven from Data)</t>
  </si>
  <si>
    <t xml:space="preserve">Boundaries can only fall on dataset bucket edges (10 / 50 / 100 / 500). Homogeneity = within-segment spread of bucket ARR/logo and Lead-&gt;Win.</t>
  </si>
  <si>
    <t xml:space="preserve">Bucket reference (from Analysis)</t>
  </si>
  <si>
    <t xml:space="preserve">Rec segment</t>
  </si>
  <si>
    <t xml:space="preserve">Option A</t>
  </si>
  <si>
    <t xml:space="preserve">Option B</t>
  </si>
  <si>
    <t xml:space="preserve">Recommended: 4 segments</t>
  </si>
  <si>
    <t xml:space="preserve">Segment</t>
  </si>
  <si>
    <t xml:space="preserve">ASP spread (max/min bucket)</t>
  </si>
  <si>
    <t xml:space="preserve">L2W spread (max/min bucket)</t>
  </si>
  <si>
    <t xml:space="preserve">Avg demos / mo</t>
  </si>
  <si>
    <t xml:space="preserve">Recommended: 3 motions (shared resources)</t>
  </si>
  <si>
    <t xml:space="preserve">Assessment (judgement, informed by the metrics above)</t>
  </si>
  <si>
    <t xml:space="preserve">Criterion</t>
  </si>
  <si>
    <t xml:space="preserve">Recommended 4-tier / 3-motion</t>
  </si>
  <si>
    <t xml:space="preserve">Option A: 1-100 / 101-500 / 501+</t>
  </si>
  <si>
    <t xml:space="preserve">Option B: 1-50 / 51-500 / 501+</t>
  </si>
  <si>
    <t xml:space="preserve">Deal-size homogeneity</t>
  </si>
  <si>
    <t xml:space="preserve">High. Max ASP spread 1.3x (1-50)</t>
  </si>
  <si>
    <t xml:space="preserve">Low. SMB mixes $3K and $9K deals (3.1x)</t>
  </si>
  <si>
    <t xml:space="preserve">Medium. MM mixes $9K and $12K (1.3x), but conversion differs</t>
  </si>
  <si>
    <t xml:space="preserve">Conversion homogeneity</t>
  </si>
  <si>
    <t xml:space="preserve">High. Each segment sits within one conversion regime</t>
  </si>
  <si>
    <t xml:space="preserve">High within tiers</t>
  </si>
  <si>
    <t xml:space="preserve">Low. MM mixes ~9.6% and ~4.6% Lead-&gt;Win (2.1x)</t>
  </si>
  <si>
    <t xml:space="preserve">Protects best-ROI segment</t>
  </si>
  <si>
    <t xml:space="preserve">Yes. 51-100 gets dedicated AEs and speed-to-lead SLAs</t>
  </si>
  <si>
    <t xml:space="preserve">No. 51-100 competes with $3K deals in one queue</t>
  </si>
  <si>
    <t xml:space="preserve">Partly. 51-100 is pooled with complex 101-500 deals</t>
  </si>
  <si>
    <t xml:space="preserve">Operational complexity</t>
  </si>
  <si>
    <t xml:space="preserve">4 AE teams, but only 3 SDR pools and 2 SC pools</t>
  </si>
  <si>
    <t xml:space="preserve">Lowest</t>
  </si>
  <si>
    <t xml:space="preserve">Low</t>
  </si>
  <si>
    <t xml:space="preserve">Main tradeoff</t>
  </si>
  <si>
    <t xml:space="preserve">More routing rules and quota plans to run</t>
  </si>
  <si>
    <t xml:space="preserve">AE time diluted on low-ASP deals</t>
  </si>
  <si>
    <t xml:space="preserve">Different motions forced into one pod</t>
  </si>
  <si>
    <t xml:space="preserve">Demand &amp; observed funnel rates by recommended segment (from Data)</t>
  </si>
  <si>
    <t xml:space="preserve">Monthly averages within each window. These feed the Scenario_Engine.</t>
  </si>
  <si>
    <t xml:space="preserve">Segment key</t>
  </si>
  <si>
    <t xml:space="preserve">A. Baseline window (Aug-Oct-21 by default): monthly average</t>
  </si>
  <si>
    <t xml:space="preserve">Months in window</t>
  </si>
  <si>
    <t xml:space="preserve">Leads / month</t>
  </si>
  <si>
    <t xml:space="preserve">Demos / month</t>
  </si>
  <si>
    <t xml:space="preserve">Qual opps / month</t>
  </si>
  <si>
    <t xml:space="preserve">Logos / month</t>
  </si>
  <si>
    <t xml:space="preserve">ARR / month</t>
  </si>
  <si>
    <t xml:space="preserve">Lead-&gt;Demo</t>
  </si>
  <si>
    <t xml:space="preserve">B. Stress month (Jan-22)</t>
  </si>
  <si>
    <t xml:space="preserve">Stress leads vs baseline</t>
  </si>
  <si>
    <t xml:space="preserve">C. Reference period (Feb-Jul-21): L2D recovery target</t>
  </si>
  <si>
    <t xml:space="preserve">Lead-&gt;Demo (reference)</t>
  </si>
  <si>
    <t xml:space="preserve">L2D gap vs baseline (pts, + = erosion)</t>
  </si>
  <si>
    <t xml:space="preserve">D. Downside demand &amp; trough</t>
  </si>
  <si>
    <t xml:space="preserve">Downside leads / month (baseline x (1 - haircut))</t>
  </si>
  <si>
    <t xml:space="preserve">Trough-window ARR / month (observed)</t>
  </si>
  <si>
    <t xml:space="preserve">Trough ARR factor (trough ARR / baseline ARR)</t>
  </si>
  <si>
    <t xml:space="preserve">Trough leads factor (trough leads / baseline leads)</t>
  </si>
  <si>
    <t xml:space="preserve">WHY EXCLUDE NOV-DEC FROM THE BASELINE: capacity must be sized to non-trough demand. Sizing to a 12-month average would leave the team</t>
  </si>
  <si>
    <t xml:space="preserve">short in 10 of 12 months. Leads fell ~41% and ARR ~61% vs the Aug-Oct baseline, but there is only ONE year, so the dip is not confirmed seasonality.</t>
  </si>
  <si>
    <t xml:space="preserve">Implications: (1) Annualizing the Aug-Oct run-rate x12 OVERSTATES annual ARR if the trough recurs. The Conservative scenario applies the observed trough to show the size of that effect.</t>
  </si>
  <si>
    <t xml:space="preserve">(2) If the trough recurs, the team runs at ~40-60% utilization for 2 months. Plan Q4 for hiring, onboarding, enablement and pipeline building.</t>
  </si>
  <si>
    <t xml:space="preserve">(3) If the dip was a one-off (e.g., a data or process issue), the baseline is correct and the Jan-22 rebound supports it.</t>
  </si>
  <si>
    <t xml:space="preserve">Scenario engine: every step from demand to headcount, cost and ARR</t>
  </si>
  <si>
    <t xml:space="preserve">One column per segment per scenario. Capacity is sized to a non-trough month. Revenue impact is split into run-rate vs lever-driven increments (no double counting).</t>
  </si>
  <si>
    <t xml:space="preserve">Scenario</t>
  </si>
  <si>
    <t xml:space="preserve">Emerging MM</t>
  </si>
  <si>
    <t xml:space="preserve">Core MM</t>
  </si>
  <si>
    <t xml:space="preserve">DEMAND &amp; FUNNEL (per non-trough month)</t>
  </si>
  <si>
    <t xml:space="preserve">Demand case (1 Downside / 2 Baseline / 3 Stress)</t>
  </si>
  <si>
    <t xml:space="preserve">Observed Lead-&gt;Demo (stress uses Jan-22 rates)</t>
  </si>
  <si>
    <t xml:space="preserve">Observed Demo-&gt;Opp</t>
  </si>
  <si>
    <t xml:space="preserve">Observed Opp-&gt;Win</t>
  </si>
  <si>
    <t xml:space="preserve">Observed ARR / logo</t>
  </si>
  <si>
    <t xml:space="preserve">Reference Lead-&gt;Demo (Feb-Jul)</t>
  </si>
  <si>
    <t xml:space="preserve">L2D lever applies (1/0)</t>
  </si>
  <si>
    <t xml:space="preserve">L2D gap eligible for recovery (pts)</t>
  </si>
  <si>
    <t xml:space="preserve">Recovery: % of gap closed (scenario)</t>
  </si>
  <si>
    <t xml:space="preserve">Target Lead-&gt;Demo</t>
  </si>
  <si>
    <t xml:space="preserve">Qualified opps / month</t>
  </si>
  <si>
    <t xml:space="preserve">Win-rate lever applies (1/0)</t>
  </si>
  <si>
    <t xml:space="preserve">Effective win-rate uplift (pts x pilot coverage)</t>
  </si>
  <si>
    <t xml:space="preserve">Target Opp-&gt;Win</t>
  </si>
  <si>
    <t xml:space="preserve">New ARR / non-trough month</t>
  </si>
  <si>
    <t xml:space="preserve">ANNUALIZATION &amp; REVENUE ATTRIBUTION</t>
  </si>
  <si>
    <t xml:space="preserve">Trough applied (1/0)</t>
  </si>
  <si>
    <t xml:space="preserve">Effective months / year</t>
  </si>
  <si>
    <t xml:space="preserve">Annual new ARR (total)</t>
  </si>
  <si>
    <t xml:space="preserve">  Run-rate ARR (observed rates, no levers)</t>
  </si>
  <si>
    <t xml:space="preserve">  + Incremental: L2D recovery lever</t>
  </si>
  <si>
    <t xml:space="preserve">  + Incremental: ENT win-rate lever (on target demos)</t>
  </si>
  <si>
    <t xml:space="preserve">  Attribution check (should be 0)</t>
  </si>
  <si>
    <t xml:space="preserve">WORKLOAD CAPACITY (sized to a non-trough month)</t>
  </si>
  <si>
    <t xml:space="preserve">Target utilization</t>
  </si>
  <si>
    <t xml:space="preserve">SDR capacity (leads / ramped month)</t>
  </si>
  <si>
    <t xml:space="preserve">SDR FTE required = leads / (capacity x util)</t>
  </si>
  <si>
    <t xml:space="preserve">AE capacity (demos / ramped month)</t>
  </si>
  <si>
    <t xml:space="preserve">AE FTE required = demos / (capacity x util)</t>
  </si>
  <si>
    <t xml:space="preserve">SC involvement (% of demos)</t>
  </si>
  <si>
    <t xml:space="preserve">SC capacity (supported demos / month)</t>
  </si>
  <si>
    <t xml:space="preserve">Pilot coverage (ENT only)</t>
  </si>
  <si>
    <t xml:space="preserve">SC FTE required = SC demos x mix of std/pilot capacity / util</t>
  </si>
  <si>
    <t xml:space="preserve">Total FTE required</t>
  </si>
  <si>
    <t xml:space="preserve">QUOTA CROSS-CHECK (separate from workload; does not drive headcount)</t>
  </si>
  <si>
    <t xml:space="preserve">AE annual quota</t>
  </si>
  <si>
    <t xml:space="preserve">Planning attainment</t>
  </si>
  <si>
    <t xml:space="preserve">AE FTE implied by quota = annual ARR / (quota x attainment)</t>
  </si>
  <si>
    <t xml:space="preserve">Workload AE minus quota AE (+ = workload needs more)</t>
  </si>
  <si>
    <t xml:space="preserve">Implied attainment if staffed to workload</t>
  </si>
  <si>
    <t xml:space="preserve">COST &amp; EFFICIENCY (fully loaded, steady-state annual)</t>
  </si>
  <si>
    <t xml:space="preserve">SDR loaded cost / FTE</t>
  </si>
  <si>
    <t xml:space="preserve">AE loaded cost / FTE</t>
  </si>
  <si>
    <t xml:space="preserve">SC loaded cost / FTE</t>
  </si>
  <si>
    <t xml:space="preserve">SDR cost</t>
  </si>
  <si>
    <t xml:space="preserve">AE cost</t>
  </si>
  <si>
    <t xml:space="preserve">SC cost</t>
  </si>
  <si>
    <t xml:space="preserve">Total staffing cost</t>
  </si>
  <si>
    <t xml:space="preserve">Annual new ARR / staffing cost</t>
  </si>
  <si>
    <t xml:space="preserve">Gross-margin payback (months)</t>
  </si>
  <si>
    <t xml:space="preserve">Annual new ARR per FTE</t>
  </si>
  <si>
    <t xml:space="preserve">INCREMENTAL VIEW (levers vs no-lever capacity at same demand)</t>
  </si>
  <si>
    <t xml:space="preserve">AE FTE without levers</t>
  </si>
  <si>
    <t xml:space="preserve">SC FTE without levers or pilot</t>
  </si>
  <si>
    <t xml:space="preserve">Incremental FTE for levers (AE + SC)</t>
  </si>
  <si>
    <t xml:space="preserve">Incremental cost for levers</t>
  </si>
  <si>
    <t xml:space="preserve">Incremental ARR from levers</t>
  </si>
  <si>
    <t xml:space="preserve">Incremental ARR per incremental FTE</t>
  </si>
  <si>
    <t xml:space="preserve">Incremental ARR / incremental cost</t>
  </si>
  <si>
    <t xml:space="preserve">No double counting: run-rate + L2D lever + win-rate lever = total ARR, checked per column. SDR FTE is sized to leads, so it does not change with the L2D lever.</t>
  </si>
  <si>
    <t xml:space="preserve">The L2D lever assumes added SDR/AE capacity and process fixes restore part of the Feb-Jul conversion. That causal link is UNPROVEN, so the lever is a scenario.</t>
  </si>
  <si>
    <t xml:space="preserve">Volume growth is NOT credited to headcount. Run-rate ARR changes across scenarios only because the demand case changes.</t>
  </si>
  <si>
    <t xml:space="preserve">Recommended staffing: Base scenario (Aug-Oct-21 demand)</t>
  </si>
  <si>
    <t xml:space="preserve">REQUIRED capacity, not net-new hires (current headcount is not in the dataset). Fractional FTE comes from Scenario_Engine; pools are rounded per the Inputs rule.</t>
  </si>
  <si>
    <t xml:space="preserve">A. Required capacity by segment (fractional FTE, base scenario)</t>
  </si>
  <si>
    <t xml:space="preserve">Role</t>
  </si>
  <si>
    <t xml:space="preserve">SDR</t>
  </si>
  <si>
    <t xml:space="preserve">AE</t>
  </si>
  <si>
    <t xml:space="preserve">SC</t>
  </si>
  <si>
    <t xml:space="preserve">B. Pooled &amp; rounded headcount (shared resources across the 3 motions)</t>
  </si>
  <si>
    <t xml:space="preserve">Pool</t>
  </si>
  <si>
    <t xml:space="preserve">Segments covered</t>
  </si>
  <si>
    <t xml:space="preserve">Fractional FTE</t>
  </si>
  <si>
    <t xml:space="preserve">Recommended HC</t>
  </si>
  <si>
    <t xml:space="preserve">Why pooled</t>
  </si>
  <si>
    <t xml:space="preserve">SDR: Commercial inbound pool</t>
  </si>
  <si>
    <t xml:space="preserve">Velocity + Emerging MM</t>
  </si>
  <si>
    <t xml:space="preserve">Velocity / MM</t>
  </si>
  <si>
    <t xml:space="preserve">Same high-intent inbound profile (L2D ~36-40%). One pool smooths volume. Routing still prioritizes 51-100 (highest ARR/lead).</t>
  </si>
  <si>
    <t xml:space="preserve">SDR: Core MM</t>
  </si>
  <si>
    <t xml:space="preserve">Higher-volume, lower-L2D segment that needs qualification rigor.</t>
  </si>
  <si>
    <t xml:space="preserve">SDR: Enterprise</t>
  </si>
  <si>
    <t xml:space="preserve">Account research and multi-threading. Candidate for an outbound/ABM test.</t>
  </si>
  <si>
    <t xml:space="preserve">AE: Velocity</t>
  </si>
  <si>
    <t xml:space="preserve">Dedicated. High-velocity, $3-4K ASP. 1-10 gets digital-assist scheduling.</t>
  </si>
  <si>
    <t xml:space="preserve">AE: Emerging MM</t>
  </si>
  <si>
    <t xml:space="preserve">Dedicated. Highest ARR/lead; protect with speed-to-lead SLAs.</t>
  </si>
  <si>
    <t xml:space="preserve">AE: Core MM</t>
  </si>
  <si>
    <t xml:space="preserve">Dedicated. Complex buying; SC-supported.</t>
  </si>
  <si>
    <t xml:space="preserve">AE: Enterprise</t>
  </si>
  <si>
    <t xml:space="preserve">Hold to base demand. Expansion gated on pilot (see ENT_Economics).</t>
  </si>
  <si>
    <t xml:space="preserve">SC: Commercial pool</t>
  </si>
  <si>
    <t xml:space="preserve">Velocity + Emerging + Core MM</t>
  </si>
  <si>
    <t xml:space="preserve">Shared pool. Coverage on request below 100 employees, ~50% of Core MM demos.</t>
  </si>
  <si>
    <t xml:space="preserve">SC: Enterprise (incl. pilot)</t>
  </si>
  <si>
    <t xml:space="preserve">Standard ~1:1.7 coverage plus 1:1 pairing on the pilot half.</t>
  </si>
  <si>
    <t xml:space="preserve">Total SDR</t>
  </si>
  <si>
    <t xml:space="preserve">Total AE</t>
  </si>
  <si>
    <t xml:space="preserve">Total SC</t>
  </si>
  <si>
    <t xml:space="preserve">Total quota-carrying + support HC</t>
  </si>
  <si>
    <t xml:space="preserve">C. Recommended HC allocated to segments (pooled roles split pro rata to workload)</t>
  </si>
  <si>
    <t xml:space="preserve">Total HC</t>
  </si>
  <si>
    <t xml:space="preserve">SDR : AE ratio (1 SDR per x AE)</t>
  </si>
  <si>
    <t xml:space="preserve">AE : SC ratio (x AE per 1 SC)</t>
  </si>
  <si>
    <t xml:space="preserve">D. Annual cost and expected ARR of recommended (rounded) HC: base scenario</t>
  </si>
  <si>
    <t xml:space="preserve">Total annual fully loaded cost</t>
  </si>
  <si>
    <t xml:space="preserve">Expected annual new ARR (base scenario)</t>
  </si>
  <si>
    <t xml:space="preserve">  of which run-rate (no levers)</t>
  </si>
  <si>
    <t xml:space="preserve">  of which lever-driven (scenario)</t>
  </si>
  <si>
    <t xml:space="preserve">ARR / cost</t>
  </si>
  <si>
    <t xml:space="preserve">ARR per AE</t>
  </si>
  <si>
    <t xml:space="preserve">Share of ARR</t>
  </si>
  <si>
    <t xml:space="preserve">Share of cost</t>
  </si>
  <si>
    <t xml:space="preserve">E. Unit economics of one additional ramped head (base rates; assumes demand exists to absorb it)</t>
  </si>
  <si>
    <t xml:space="preserve">AE: ramped annual ARR capacity</t>
  </si>
  <si>
    <t xml:space="preserve">Capacity x util x D-&gt;Q x Q-&gt;W x ASP x 12</t>
  </si>
  <si>
    <t xml:space="preserve">AE: year-1 ramp factor</t>
  </si>
  <si>
    <t xml:space="preserve">(12 - ramp x (1 - ramp productivity)) / 12</t>
  </si>
  <si>
    <t xml:space="preserve">AE: year-1 ARR per new hire</t>
  </si>
  <si>
    <t xml:space="preserve">AE: loaded cost</t>
  </si>
  <si>
    <t xml:space="preserve">AE: ramped ARR / cost</t>
  </si>
  <si>
    <t xml:space="preserve">AE + attached SC &amp; SDR: ramped ARR / cost</t>
  </si>
  <si>
    <t xml:space="preserve">Includes SC and SDR support per AE at the base ratios</t>
  </si>
  <si>
    <t xml:space="preserve">SDR: ARR at stake per SDR IF the L2D gap is capacity-driven</t>
  </si>
  <si>
    <t xml:space="preserve">HYPOTHESIS. Full gap, ramped. Zero for ENT (no erosion).</t>
  </si>
  <si>
    <t xml:space="preserve">SDR: loaded cost</t>
  </si>
  <si>
    <t xml:space="preserve">SDR: ARR at stake / cost</t>
  </si>
  <si>
    <t xml:space="preserve">F. OPTIONAL: enter current ramped headcount to see the hiring gap (blank = unknown)</t>
  </si>
  <si>
    <t xml:space="preserve">Current SDR (enter)</t>
  </si>
  <si>
    <t xml:space="preserve">Current AE (enter)</t>
  </si>
  <si>
    <t xml:space="preserve">Current SC (enter)</t>
  </si>
  <si>
    <t xml:space="preserve">SDR gap = recommended - current</t>
  </si>
  <si>
    <t xml:space="preserve">AE gap = recommended - current</t>
  </si>
  <si>
    <t xml:space="preserve">SC gap = recommended - current</t>
  </si>
  <si>
    <t xml:space="preserve">The dataset has no headcount, so the model does not state a net-new hiring number. Required capacity minus current capacity = hiring need (before attrition backfill).</t>
  </si>
  <si>
    <t xml:space="preserve">G. Jan-22 stress test: additional fractional FTE vs base. Hire only if demand persists (gated)</t>
  </si>
  <si>
    <t xml:space="preserve">Trigger: 2 consecutive non-trough months at &gt;= Jan-22 lead volume, with L2D holding. Use a contractor/overflow SDR first; AE hires lag by one ramp period.</t>
  </si>
  <si>
    <t xml:space="preserve">H. Scenario summary (fractional FTE, steady-state annual; from Scenario_Engine)</t>
  </si>
  <si>
    <t xml:space="preserve">Annual new ARR</t>
  </si>
  <si>
    <t xml:space="preserve">  Run-rate (no levers)</t>
  </si>
  <si>
    <t xml:space="preserve">  L2D recovery lever</t>
  </si>
  <si>
    <t xml:space="preserve">  ENT win-rate lever</t>
  </si>
  <si>
    <t xml:space="preserve">SDR FTE</t>
  </si>
  <si>
    <t xml:space="preserve">AE FTE</t>
  </si>
  <si>
    <t xml:space="preserve">SC FTE</t>
  </si>
  <si>
    <t xml:space="preserve">Total FTE</t>
  </si>
  <si>
    <t xml:space="preserve">GM payback (months)</t>
  </si>
  <si>
    <t xml:space="preserve">Incremental ARR per incremental FTE (levers)</t>
  </si>
  <si>
    <t xml:space="preserve">Incremental ARR / incremental cost (levers)</t>
  </si>
  <si>
    <t xml:space="preserve">Enterprise economics: test before scaling</t>
  </si>
  <si>
    <t xml:space="preserve">Per-AE pod economics at base rates, breakeven win rate for the payback hurdle, pilot design and sensitivities.</t>
  </si>
  <si>
    <t xml:space="preserve">A. Enterprise pod at base rates (1 ramped AE + attached SC &amp; SDR)</t>
  </si>
  <si>
    <t xml:space="preserve">AE demos / month</t>
  </si>
  <si>
    <t xml:space="preserve">Utilization</t>
  </si>
  <si>
    <t xml:space="preserve">Demo-&gt;Opp (baseline window)</t>
  </si>
  <si>
    <t xml:space="preserve">Opp-&gt;Win (baseline window)</t>
  </si>
  <si>
    <t xml:space="preserve">ARR / logo (baseline window)</t>
  </si>
  <si>
    <t xml:space="preserve">Lead-&gt;Demo (baseline window)</t>
  </si>
  <si>
    <t xml:space="preserve">Qualified opps / AE / year</t>
  </si>
  <si>
    <t xml:space="preserve">ARR / AE / year</t>
  </si>
  <si>
    <t xml:space="preserve">SC per AE (standard coverage)</t>
  </si>
  <si>
    <t xml:space="preserve">AE demos x SC involvement / SC capacity</t>
  </si>
  <si>
    <t xml:space="preserve">SDR per AE</t>
  </si>
  <si>
    <t xml:space="preserve">Leads needed per AE / SDR capacity (both at the same utilization)</t>
  </si>
  <si>
    <t xml:space="preserve">Pod loaded cost / year</t>
  </si>
  <si>
    <t xml:space="preserve">Breakeven Opp-&gt;Win for payback hurdle</t>
  </si>
  <si>
    <t xml:space="preserve">Win rate at which the pod pays back within the hurdle</t>
  </si>
  <si>
    <t xml:space="preserve">Required uplift vs today (pts)</t>
  </si>
  <si>
    <t xml:space="preserve">Breakeven ARR/logo at today's win rate</t>
  </si>
  <si>
    <t xml:space="preserve">Compare: Emerging MM pod ARR / cost</t>
  </si>
  <si>
    <t xml:space="preserve">Same method from the Staffing tab. Shows where the marginal dollar works hardest.</t>
  </si>
  <si>
    <t xml:space="preserve">B. SC-paired pilot design (illustrative)</t>
  </si>
  <si>
    <t xml:space="preserve">Pilot AEs</t>
  </si>
  <si>
    <t xml:space="preserve">Pilot SCs (1:1)</t>
  </si>
  <si>
    <t xml:space="preserve">Duration (months)</t>
  </si>
  <si>
    <t xml:space="preserve">Pilot qualified opps in window</t>
  </si>
  <si>
    <t xml:space="preserve">Std error of win rate at that sample (pts)</t>
  </si>
  <si>
    <t xml:space="preserve">With ~80 opps, only a ~+9pt effect is statistically clear. Read it as directional, or extend the pilot.</t>
  </si>
  <si>
    <t xml:space="preserve">Approx. minimum detectable uplift (2 x SE)</t>
  </si>
  <si>
    <t xml:space="preserve">Incremental pilot cost (extra SC above standard coverage)</t>
  </si>
  <si>
    <t xml:space="preserve">Scale gate 1: pilot win rate &gt;=</t>
  </si>
  <si>
    <t xml:space="preserve">Equals the breakeven win rate. Below this, do not scale ENT headcount.</t>
  </si>
  <si>
    <t xml:space="preserve">Scale gate 2: ARR/logo &gt;=</t>
  </si>
  <si>
    <t xml:space="preserve">No ASP erosion vs the baseline window</t>
  </si>
  <si>
    <t xml:space="preserve">Other gates: sales cycle no longer than the control group's; SC hours per opp tracked; win rate measured on opps created during the pilot (cohort basis).</t>
  </si>
  <si>
    <t xml:space="preserve">C. Sensitivity: GM payback (months) by Opp-&gt;Win (rows) and ARR/logo (cols), pod at base capacity &amp; cost</t>
  </si>
  <si>
    <t xml:space="preserve">Opp-&gt;Win  \  ARR/logo</t>
  </si>
  <si>
    <t xml:space="preserve">D. Sensitivity: GM payback (months) by Opp-&gt;Win (rows) and AE demo capacity (cols), today's ASP</t>
  </si>
  <si>
    <t xml:space="preserve">Opp-&gt;Win  \  demos/AE/mo</t>
  </si>
  <si>
    <t xml:space="preserve">Cells at or below the payback hurdle are where scaling ENT pays off. Today's ENT sits near 19-20% win rate and ~$23K ARR/logo.</t>
  </si>
  <si>
    <t xml:space="preserve">One-at-a-time sensitivity on the Base scenario (exact, formula-driven)</t>
  </si>
  <si>
    <t xml:space="preserve">FTE scales with 1/capacity and 1/utilization. Cost scales with OTE x load. ARR levers are linear. Recommended HC uses fractional FTE here (before rounding).</t>
  </si>
  <si>
    <t xml:space="preserve">Base totals</t>
  </si>
  <si>
    <t xml:space="preserve">Annual ARR</t>
  </si>
  <si>
    <t xml:space="preserve">Run-rate ARR</t>
  </si>
  <si>
    <t xml:space="preserve">L2D-lever ARR</t>
  </si>
  <si>
    <t xml:space="preserve">Win-rate-lever ARR</t>
  </si>
  <si>
    <t xml:space="preserve">AE FTE w/o levers</t>
  </si>
  <si>
    <t xml:space="preserve">SC FTE w/o levers &amp; pilot</t>
  </si>
  <si>
    <t xml:space="preserve">Total cost</t>
  </si>
  <si>
    <t xml:space="preserve">Base recovery %</t>
  </si>
  <si>
    <t xml:space="preserve">Base ENT win-rate uplift</t>
  </si>
  <si>
    <t xml:space="preserve">Assumption flexed</t>
  </si>
  <si>
    <t xml:space="preserve">High</t>
  </si>
  <si>
    <t xml:space="preserve">FTE @ low</t>
  </si>
  <si>
    <t xml:space="preserve">FTE @ high</t>
  </si>
  <si>
    <t xml:space="preserve">Cost @ low</t>
  </si>
  <si>
    <t xml:space="preserve">Cost @ high</t>
  </si>
  <si>
    <t xml:space="preserve">ARR @ low</t>
  </si>
  <si>
    <t xml:space="preserve">ARR @ high</t>
  </si>
  <si>
    <t xml:space="preserve">Payback @ low</t>
  </si>
  <si>
    <t xml:space="preserve">Payback @ high</t>
  </si>
  <si>
    <t xml:space="preserve">SDR capacity (x base)</t>
  </si>
  <si>
    <t xml:space="preserve">AE capacity (x base)</t>
  </si>
  <si>
    <t xml:space="preserve">SC capacity (x base)</t>
  </si>
  <si>
    <t xml:space="preserve">Loaded-cost multiplier</t>
  </si>
  <si>
    <t xml:space="preserve">AE OTE (x base)</t>
  </si>
  <si>
    <t xml:space="preserve">L2D recovery (% of gap)</t>
  </si>
  <si>
    <t xml:space="preserve">ENT win-rate uplift (pts)</t>
  </si>
  <si>
    <t xml:space="preserve">Demand (x baseline leads)</t>
  </si>
  <si>
    <t xml:space="preserve">Notes: the L2D-recovery row moves AE FTE with the extra demos (SC effect ignored, &lt;0.2 FTE). Demand scales all roles and ARR proportionally.</t>
  </si>
  <si>
    <t xml:space="preserve">The SC-pilot cost is held constant in the win-rate row: the pilot is a decision, the uplift is the outcome.</t>
  </si>
  <si>
    <t xml:space="preserve">Reconciliation &amp; integrity checks</t>
  </si>
  <si>
    <t xml:space="preserve">Every check should read TRUE.</t>
  </si>
  <si>
    <t xml:space="preserve">Value A</t>
  </si>
  <si>
    <t xml:space="preserve">Value B</t>
  </si>
  <si>
    <t xml:space="preserve">Pass?</t>
  </si>
  <si>
    <t xml:space="preserve">Data rows = 60 (12 months x 5 buckets)</t>
  </si>
  <si>
    <t xml:space="preserve">Analysis total leads = SUM(Data leads)</t>
  </si>
  <si>
    <t xml:space="preserve">Analysis total ARR = SUM(Data ARR)</t>
  </si>
  <si>
    <t xml:space="preserve">Monthly table ARR = bucket table ARR</t>
  </si>
  <si>
    <t xml:space="preserve">Segmentation (4-tier) ARR = total ARR</t>
  </si>
  <si>
    <t xml:space="preserve">Option A ARR = total ARR</t>
  </si>
  <si>
    <t xml:space="preserve">Baseline-window ARR/mo (Demand) = Data window ARR / months</t>
  </si>
  <si>
    <t xml:space="preserve">Stress ARR/mo (Demand) = Data Jan-22 ARR</t>
  </si>
  <si>
    <t xml:space="preserve">Base run-rate ARR (engine) = baseline ARR/mo x 12</t>
  </si>
  <si>
    <t xml:space="preserve">Stress run-rate ARR (engine) = Jan-22 ARR x 12</t>
  </si>
  <si>
    <t xml:space="preserve">Engine attribution sums to total (all scenarios)</t>
  </si>
  <si>
    <t xml:space="preserve">Engine base demos at 0% recovery = observed demos (L2D x leads)</t>
  </si>
  <si>
    <t xml:space="preserve">Staffing rounded SDR HC &gt;= fractional - 0.3</t>
  </si>
  <si>
    <t xml:space="preserve">Staffing allocated HC total = pooled HC total</t>
  </si>
  <si>
    <t xml:space="preserve">Staffing base ARR = engine base ARR</t>
  </si>
  <si>
    <t xml:space="preserve">Analysis LMDI effects sum to delta ARR</t>
  </si>
  <si>
    <t xml:space="preserve">Funnel monotonic in every row (leads&gt;=demos&gt;=opps&gt;=logos)</t>
  </si>
  <si>
    <t xml:space="preserve">ALL CHECKS PASS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</si>
</sst>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mmm\-yy"/>
    <numFmt numFmtId="166" formatCode="0.0%;\(0.0%\);\-"/>
    <numFmt numFmtId="167" formatCode="#,##0;\(#,##0\);\-"/>
    <numFmt numFmtId="168" formatCode="0.00;\(0.00\);\-"/>
    <numFmt numFmtId="169" formatCode="\$#,##0;&quot;($&quot;#,##0\);\-"/>
    <numFmt numFmtId="170" formatCode="#,##0.0;\(#,##0.0\);\-"/>
    <numFmt numFmtId="171" formatCode="0%"/>
    <numFmt numFmtId="172" formatCode="0.00\x;\(0.00&quot;x)&quot;;\-"/>
    <numFmt numFmtId="173" formatCode="0.0&quot; mo&quot;;\(0.0&quot; mo)&quot;;\-"/>
    <numFmt numFmtId="174" formatCode="0.00\x"/>
    <numFmt numFmtId="17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E8ECF4"/>
        <bgColor rgb="FFE6F4EA"/>
      </patternFill>
    </fill>
    <fill>
      <patternFill patternType="solid">
        <fgColor rgb="FFFFF9DB"/>
        <bgColor rgb="FFF3F5F9"/>
      </patternFill>
    </fill>
    <fill>
      <patternFill patternType="solid">
        <fgColor rgb="FF1F2A44"/>
        <bgColor rgb="FF003366"/>
      </patternFill>
    </fill>
    <fill>
      <patternFill patternType="solid">
        <fgColor rgb="FFF3F5F9"/>
        <bgColor rgb="FFE6F4EA"/>
      </patternFill>
    </fill>
    <fill>
      <patternFill patternType="solid">
        <fgColor rgb="FFE6F4EA"/>
        <bgColor rgb="FFE8ECF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9DB"/>
      <rgbColor rgb="FFE6F4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CF4"/>
      <rgbColor rgb="FFF3F5F9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4F81BD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leads vs demos (all segments)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Analysis!B14</c:f>
              <c:strCache>
                <c:ptCount val="1"/>
                <c:pt idx="0">
                  <c:v>Leads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Analysis!$A$15:$A$26</c:f>
              <c:strCache>
                <c:ptCount val="12"/>
                <c:pt idx="0">
                  <c:v>Feb-21</c:v>
                </c:pt>
                <c:pt idx="1">
                  <c:v>Mar-21</c:v>
                </c:pt>
                <c:pt idx="2">
                  <c:v>Apr-21</c:v>
                </c:pt>
                <c:pt idx="3">
                  <c:v>May-21</c:v>
                </c:pt>
                <c:pt idx="4">
                  <c:v>Jun-21</c:v>
                </c:pt>
                <c:pt idx="5">
                  <c:v>Jul-21</c:v>
                </c:pt>
                <c:pt idx="6">
                  <c:v>Aug-21</c:v>
                </c:pt>
                <c:pt idx="7">
                  <c:v>Sep-21</c:v>
                </c:pt>
                <c:pt idx="8">
                  <c:v>Oct-21</c:v>
                </c:pt>
                <c:pt idx="9">
                  <c:v>Nov-21</c:v>
                </c:pt>
                <c:pt idx="10">
                  <c:v>Dec-21</c:v>
                </c:pt>
                <c:pt idx="11">
                  <c:v>Jan-22</c:v>
                </c:pt>
              </c:strCache>
            </c:strRef>
          </c:cat>
          <c:val>
            <c:numRef>
              <c:f>Analysis!$B$15:$B$26</c:f>
              <c:numCache>
                <c:formatCode>#,##0;\(#,##0\);\-</c:formatCode>
                <c:ptCount val="12"/>
                <c:pt idx="0">
                  <c:v>1155</c:v>
                </c:pt>
                <c:pt idx="1">
                  <c:v>1214</c:v>
                </c:pt>
                <c:pt idx="2">
                  <c:v>1315</c:v>
                </c:pt>
                <c:pt idx="3">
                  <c:v>1399</c:v>
                </c:pt>
                <c:pt idx="4">
                  <c:v>1444</c:v>
                </c:pt>
                <c:pt idx="5">
                  <c:v>1560</c:v>
                </c:pt>
                <c:pt idx="6">
                  <c:v>1605</c:v>
                </c:pt>
                <c:pt idx="7">
                  <c:v>1652</c:v>
                </c:pt>
                <c:pt idx="8">
                  <c:v>1877</c:v>
                </c:pt>
                <c:pt idx="9">
                  <c:v>1001</c:v>
                </c:pt>
                <c:pt idx="10">
                  <c:v>1015</c:v>
                </c:pt>
                <c:pt idx="11">
                  <c:v>1915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Analysis!C14</c:f>
              <c:strCache>
                <c:ptCount val="1"/>
                <c:pt idx="0">
                  <c:v>Demos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Analysis!$A$15:$A$26</c:f>
              <c:strCache>
                <c:ptCount val="12"/>
                <c:pt idx="0">
                  <c:v>Feb-21</c:v>
                </c:pt>
                <c:pt idx="1">
                  <c:v>Mar-21</c:v>
                </c:pt>
                <c:pt idx="2">
                  <c:v>Apr-21</c:v>
                </c:pt>
                <c:pt idx="3">
                  <c:v>May-21</c:v>
                </c:pt>
                <c:pt idx="4">
                  <c:v>Jun-21</c:v>
                </c:pt>
                <c:pt idx="5">
                  <c:v>Jul-21</c:v>
                </c:pt>
                <c:pt idx="6">
                  <c:v>Aug-21</c:v>
                </c:pt>
                <c:pt idx="7">
                  <c:v>Sep-21</c:v>
                </c:pt>
                <c:pt idx="8">
                  <c:v>Oct-21</c:v>
                </c:pt>
                <c:pt idx="9">
                  <c:v>Nov-21</c:v>
                </c:pt>
                <c:pt idx="10">
                  <c:v>Dec-21</c:v>
                </c:pt>
                <c:pt idx="11">
                  <c:v>Jan-22</c:v>
                </c:pt>
              </c:strCache>
            </c:strRef>
          </c:cat>
          <c:val>
            <c:numRef>
              <c:f>Analysis!$C$15:$C$26</c:f>
              <c:numCache>
                <c:formatCode>#,##0;\(#,##0\);\-</c:formatCode>
                <c:ptCount val="12"/>
                <c:pt idx="0">
                  <c:v>410</c:v>
                </c:pt>
                <c:pt idx="1">
                  <c:v>401</c:v>
                </c:pt>
                <c:pt idx="2">
                  <c:v>416</c:v>
                </c:pt>
                <c:pt idx="3">
                  <c:v>424</c:v>
                </c:pt>
                <c:pt idx="4">
                  <c:v>423</c:v>
                </c:pt>
                <c:pt idx="5">
                  <c:v>450</c:v>
                </c:pt>
                <c:pt idx="6">
                  <c:v>454</c:v>
                </c:pt>
                <c:pt idx="7">
                  <c:v>466</c:v>
                </c:pt>
                <c:pt idx="8">
                  <c:v>528</c:v>
                </c:pt>
                <c:pt idx="9">
                  <c:v>229</c:v>
                </c:pt>
                <c:pt idx="10">
                  <c:v>212</c:v>
                </c:pt>
                <c:pt idx="11">
                  <c:v>538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964628"/>
        <c:axId val="69390859"/>
      </c:lineChart>
      <c:catAx>
        <c:axId val="9396462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390859"/>
        <c:crosses val="autoZero"/>
        <c:auto val="1"/>
        <c:lblAlgn val="ctr"/>
        <c:lblOffset val="100"/>
        <c:noMultiLvlLbl val="0"/>
      </c:catAx>
      <c:valAx>
        <c:axId val="693908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646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Lead-&gt;Demo by bucket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Analysis!B30</c:f>
              <c:strCache>
                <c:ptCount val="1"/>
                <c:pt idx="0">
                  <c:v>1-10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Analysis!$A$31:$A$42</c:f>
              <c:strCache>
                <c:ptCount val="12"/>
                <c:pt idx="0">
                  <c:v>Feb-21</c:v>
                </c:pt>
                <c:pt idx="1">
                  <c:v>Mar-21</c:v>
                </c:pt>
                <c:pt idx="2">
                  <c:v>Apr-21</c:v>
                </c:pt>
                <c:pt idx="3">
                  <c:v>May-21</c:v>
                </c:pt>
                <c:pt idx="4">
                  <c:v>Jun-21</c:v>
                </c:pt>
                <c:pt idx="5">
                  <c:v>Jul-21</c:v>
                </c:pt>
                <c:pt idx="6">
                  <c:v>Aug-21</c:v>
                </c:pt>
                <c:pt idx="7">
                  <c:v>Sep-21</c:v>
                </c:pt>
                <c:pt idx="8">
                  <c:v>Oct-21</c:v>
                </c:pt>
                <c:pt idx="9">
                  <c:v>Nov-21</c:v>
                </c:pt>
                <c:pt idx="10">
                  <c:v>Dec-21</c:v>
                </c:pt>
                <c:pt idx="11">
                  <c:v>Jan-22</c:v>
                </c:pt>
              </c:strCache>
            </c:strRef>
          </c:cat>
          <c:val>
            <c:numRef>
              <c:f>Analysis!$B$31:$B$42</c:f>
              <c:numCache>
                <c:formatCode>0.0%;\(0.0%\);\-</c:formatCode>
                <c:ptCount val="12"/>
                <c:pt idx="0">
                  <c:v>0.433070866141732</c:v>
                </c:pt>
                <c:pt idx="1">
                  <c:v>0.422018348623853</c:v>
                </c:pt>
                <c:pt idx="2">
                  <c:v>0.401515151515152</c:v>
                </c:pt>
                <c:pt idx="3">
                  <c:v>0.375</c:v>
                </c:pt>
                <c:pt idx="4">
                  <c:v>0.366336633663366</c:v>
                </c:pt>
                <c:pt idx="5">
                  <c:v>0.357798165137615</c:v>
                </c:pt>
                <c:pt idx="6">
                  <c:v>0.325</c:v>
                </c:pt>
                <c:pt idx="7">
                  <c:v>0.353535353535354</c:v>
                </c:pt>
                <c:pt idx="8">
                  <c:v>0.372340425531915</c:v>
                </c:pt>
                <c:pt idx="9">
                  <c:v>0.283333333333333</c:v>
                </c:pt>
                <c:pt idx="10">
                  <c:v>0.262295081967213</c:v>
                </c:pt>
                <c:pt idx="11">
                  <c:v>0.375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Analysis!C30</c:f>
              <c:strCache>
                <c:ptCount val="1"/>
                <c:pt idx="0">
                  <c:v>11-50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Analysis!$A$31:$A$42</c:f>
              <c:strCache>
                <c:ptCount val="12"/>
                <c:pt idx="0">
                  <c:v>Feb-21</c:v>
                </c:pt>
                <c:pt idx="1">
                  <c:v>Mar-21</c:v>
                </c:pt>
                <c:pt idx="2">
                  <c:v>Apr-21</c:v>
                </c:pt>
                <c:pt idx="3">
                  <c:v>May-21</c:v>
                </c:pt>
                <c:pt idx="4">
                  <c:v>Jun-21</c:v>
                </c:pt>
                <c:pt idx="5">
                  <c:v>Jul-21</c:v>
                </c:pt>
                <c:pt idx="6">
                  <c:v>Aug-21</c:v>
                </c:pt>
                <c:pt idx="7">
                  <c:v>Sep-21</c:v>
                </c:pt>
                <c:pt idx="8">
                  <c:v>Oct-21</c:v>
                </c:pt>
                <c:pt idx="9">
                  <c:v>Nov-21</c:v>
                </c:pt>
                <c:pt idx="10">
                  <c:v>Dec-21</c:v>
                </c:pt>
                <c:pt idx="11">
                  <c:v>Jan-22</c:v>
                </c:pt>
              </c:strCache>
            </c:strRef>
          </c:cat>
          <c:val>
            <c:numRef>
              <c:f>Analysis!$C$31:$C$42</c:f>
              <c:numCache>
                <c:formatCode>0.0%;\(0.0%\);\-</c:formatCode>
                <c:ptCount val="12"/>
                <c:pt idx="0">
                  <c:v>0.442307692307692</c:v>
                </c:pt>
                <c:pt idx="1">
                  <c:v>0.429411764705882</c:v>
                </c:pt>
                <c:pt idx="2">
                  <c:v>0.401015228426396</c:v>
                </c:pt>
                <c:pt idx="3">
                  <c:v>0.39010989010989</c:v>
                </c:pt>
                <c:pt idx="4">
                  <c:v>0.368663594470046</c:v>
                </c:pt>
                <c:pt idx="5">
                  <c:v>0.36</c:v>
                </c:pt>
                <c:pt idx="6">
                  <c:v>0.358974358974359</c:v>
                </c:pt>
                <c:pt idx="7">
                  <c:v>0.370967741935484</c:v>
                </c:pt>
                <c:pt idx="8">
                  <c:v>0.361216730038023</c:v>
                </c:pt>
                <c:pt idx="9">
                  <c:v>0.292307692307692</c:v>
                </c:pt>
                <c:pt idx="10">
                  <c:v>0.253521126760563</c:v>
                </c:pt>
                <c:pt idx="11">
                  <c:v>0.369477911646586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Analysis!D30</c:f>
              <c:strCache>
                <c:ptCount val="1"/>
                <c:pt idx="0">
                  <c:v>51-100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Analysis!$A$31:$A$42</c:f>
              <c:strCache>
                <c:ptCount val="12"/>
                <c:pt idx="0">
                  <c:v>Feb-21</c:v>
                </c:pt>
                <c:pt idx="1">
                  <c:v>Mar-21</c:v>
                </c:pt>
                <c:pt idx="2">
                  <c:v>Apr-21</c:v>
                </c:pt>
                <c:pt idx="3">
                  <c:v>May-21</c:v>
                </c:pt>
                <c:pt idx="4">
                  <c:v>Jun-21</c:v>
                </c:pt>
                <c:pt idx="5">
                  <c:v>Jul-21</c:v>
                </c:pt>
                <c:pt idx="6">
                  <c:v>Aug-21</c:v>
                </c:pt>
                <c:pt idx="7">
                  <c:v>Sep-21</c:v>
                </c:pt>
                <c:pt idx="8">
                  <c:v>Oct-21</c:v>
                </c:pt>
                <c:pt idx="9">
                  <c:v>Nov-21</c:v>
                </c:pt>
                <c:pt idx="10">
                  <c:v>Dec-21</c:v>
                </c:pt>
                <c:pt idx="11">
                  <c:v>Jan-22</c:v>
                </c:pt>
              </c:strCache>
            </c:strRef>
          </c:cat>
          <c:val>
            <c:numRef>
              <c:f>Analysis!$D$31:$D$42</c:f>
              <c:numCache>
                <c:formatCode>0.0%;\(0.0%\);\-</c:formatCode>
                <c:ptCount val="12"/>
                <c:pt idx="0">
                  <c:v>0.41991341991342</c:v>
                </c:pt>
                <c:pt idx="1">
                  <c:v>0.398268398268398</c:v>
                </c:pt>
                <c:pt idx="2">
                  <c:v>0.40084388185654</c:v>
                </c:pt>
                <c:pt idx="3">
                  <c:v>0.390977443609023</c:v>
                </c:pt>
                <c:pt idx="4">
                  <c:v>0.370242214532872</c:v>
                </c:pt>
                <c:pt idx="5">
                  <c:v>0.368589743589744</c:v>
                </c:pt>
                <c:pt idx="6">
                  <c:v>0.350819672131148</c:v>
                </c:pt>
                <c:pt idx="7">
                  <c:v>0.359430604982206</c:v>
                </c:pt>
                <c:pt idx="8">
                  <c:v>0.349112426035503</c:v>
                </c:pt>
                <c:pt idx="9">
                  <c:v>0.283333333333333</c:v>
                </c:pt>
                <c:pt idx="10">
                  <c:v>0.238341968911917</c:v>
                </c:pt>
                <c:pt idx="11">
                  <c:v>0.339425587467363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Analysis!E30</c:f>
              <c:strCache>
                <c:ptCount val="1"/>
                <c:pt idx="0">
                  <c:v>101-500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Analysis!$A$31:$A$42</c:f>
              <c:strCache>
                <c:ptCount val="12"/>
                <c:pt idx="0">
                  <c:v>Feb-21</c:v>
                </c:pt>
                <c:pt idx="1">
                  <c:v>Mar-21</c:v>
                </c:pt>
                <c:pt idx="2">
                  <c:v>Apr-21</c:v>
                </c:pt>
                <c:pt idx="3">
                  <c:v>May-21</c:v>
                </c:pt>
                <c:pt idx="4">
                  <c:v>Jun-21</c:v>
                </c:pt>
                <c:pt idx="5">
                  <c:v>Jul-21</c:v>
                </c:pt>
                <c:pt idx="6">
                  <c:v>Aug-21</c:v>
                </c:pt>
                <c:pt idx="7">
                  <c:v>Sep-21</c:v>
                </c:pt>
                <c:pt idx="8">
                  <c:v>Oct-21</c:v>
                </c:pt>
                <c:pt idx="9">
                  <c:v>Nov-21</c:v>
                </c:pt>
                <c:pt idx="10">
                  <c:v>Dec-21</c:v>
                </c:pt>
                <c:pt idx="11">
                  <c:v>Jan-22</c:v>
                </c:pt>
              </c:strCache>
            </c:strRef>
          </c:cat>
          <c:val>
            <c:numRef>
              <c:f>Analysis!$E$31:$E$42</c:f>
              <c:numCache>
                <c:formatCode>0.0%;\(0.0%\);\-</c:formatCode>
                <c:ptCount val="12"/>
                <c:pt idx="0">
                  <c:v>0.30952380952381</c:v>
                </c:pt>
                <c:pt idx="1">
                  <c:v>0.3</c:v>
                </c:pt>
                <c:pt idx="2">
                  <c:v>0.280148423005566</c:v>
                </c:pt>
                <c:pt idx="3">
                  <c:v>0.270125223613596</c:v>
                </c:pt>
                <c:pt idx="4">
                  <c:v>0.25044404973357</c:v>
                </c:pt>
                <c:pt idx="5">
                  <c:v>0.25</c:v>
                </c:pt>
                <c:pt idx="6">
                  <c:v>0.259878419452888</c:v>
                </c:pt>
                <c:pt idx="7">
                  <c:v>0.249630723781388</c:v>
                </c:pt>
                <c:pt idx="8">
                  <c:v>0.260152284263959</c:v>
                </c:pt>
                <c:pt idx="9">
                  <c:v>0.219451371571072</c:v>
                </c:pt>
                <c:pt idx="10">
                  <c:v>0.20959595959596</c:v>
                </c:pt>
                <c:pt idx="11">
                  <c:v>0.24968152866242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Analysis!F30</c:f>
              <c:strCache>
                <c:ptCount val="1"/>
                <c:pt idx="0">
                  <c:v>501+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Analysis!$A$31:$A$42</c:f>
              <c:strCache>
                <c:ptCount val="12"/>
                <c:pt idx="0">
                  <c:v>Feb-21</c:v>
                </c:pt>
                <c:pt idx="1">
                  <c:v>Mar-21</c:v>
                </c:pt>
                <c:pt idx="2">
                  <c:v>Apr-21</c:v>
                </c:pt>
                <c:pt idx="3">
                  <c:v>May-21</c:v>
                </c:pt>
                <c:pt idx="4">
                  <c:v>Jun-21</c:v>
                </c:pt>
                <c:pt idx="5">
                  <c:v>Jul-21</c:v>
                </c:pt>
                <c:pt idx="6">
                  <c:v>Aug-21</c:v>
                </c:pt>
                <c:pt idx="7">
                  <c:v>Sep-21</c:v>
                </c:pt>
                <c:pt idx="8">
                  <c:v>Oct-21</c:v>
                </c:pt>
                <c:pt idx="9">
                  <c:v>Nov-21</c:v>
                </c:pt>
                <c:pt idx="10">
                  <c:v>Dec-21</c:v>
                </c:pt>
                <c:pt idx="11">
                  <c:v>Jan-22</c:v>
                </c:pt>
              </c:strCache>
            </c:strRef>
          </c:cat>
          <c:val>
            <c:numRef>
              <c:f>Analysis!$F$31:$F$42</c:f>
              <c:numCache>
                <c:formatCode>0.0%;\(0.0%\);\-</c:formatCode>
                <c:ptCount val="12"/>
                <c:pt idx="0">
                  <c:v>0.181102362204724</c:v>
                </c:pt>
                <c:pt idx="1">
                  <c:v>0.190721649484536</c:v>
                </c:pt>
                <c:pt idx="2">
                  <c:v>0.180952380952381</c:v>
                </c:pt>
                <c:pt idx="3">
                  <c:v>0.2</c:v>
                </c:pt>
                <c:pt idx="4">
                  <c:v>0.211678832116788</c:v>
                </c:pt>
                <c:pt idx="5">
                  <c:v>0.188679245283019</c:v>
                </c:pt>
                <c:pt idx="6">
                  <c:v>0.179930795847751</c:v>
                </c:pt>
                <c:pt idx="7">
                  <c:v>0.198847262247839</c:v>
                </c:pt>
                <c:pt idx="8">
                  <c:v>0.190355329949239</c:v>
                </c:pt>
                <c:pt idx="9">
                  <c:v>0.152173913043478</c:v>
                </c:pt>
                <c:pt idx="10">
                  <c:v>0.139013452914798</c:v>
                </c:pt>
                <c:pt idx="11">
                  <c:v>0.208955223880597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968277"/>
        <c:axId val="5187720"/>
      </c:lineChart>
      <c:catAx>
        <c:axId val="7896827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87720"/>
        <c:crosses val="autoZero"/>
        <c:auto val="1"/>
        <c:lblAlgn val="ctr"/>
        <c:lblOffset val="100"/>
        <c:noMultiLvlLbl val="0"/>
      </c:catAx>
      <c:valAx>
        <c:axId val="51877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9682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12-month ARR by bucket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Analysis!F5</c:f>
              <c:strCache>
                <c:ptCount val="1"/>
                <c:pt idx="0">
                  <c:v>ARR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Analysis!$A$6:$A$10</c:f>
              <c:strCache>
                <c:ptCount val="5"/>
                <c:pt idx="0">
                  <c:v>1-10</c:v>
                </c:pt>
                <c:pt idx="1">
                  <c:v>11-50</c:v>
                </c:pt>
                <c:pt idx="2">
                  <c:v>51-100</c:v>
                </c:pt>
                <c:pt idx="3">
                  <c:v>101-500</c:v>
                </c:pt>
                <c:pt idx="4">
                  <c:v>501+</c:v>
                </c:pt>
              </c:strCache>
            </c:strRef>
          </c:cat>
          <c:val>
            <c:numRef>
              <c:f>Analysis!$F$6:$F$10</c:f>
              <c:numCache>
                <c:formatCode>\$#,##0;"($"#,##0\);\-</c:formatCode>
                <c:ptCount val="5"/>
                <c:pt idx="0">
                  <c:v>352503</c:v>
                </c:pt>
                <c:pt idx="1">
                  <c:v>1015546</c:v>
                </c:pt>
                <c:pt idx="2">
                  <c:v>2905721</c:v>
                </c:pt>
                <c:pt idx="3">
                  <c:v>4000078</c:v>
                </c:pt>
                <c:pt idx="4">
                  <c:v>1772519</c:v>
                </c:pt>
              </c:numCache>
            </c:numRef>
          </c:val>
        </c:ser>
        <c:gapWidth val="150"/>
        <c:overlap val="0"/>
        <c:axId val="48170218"/>
        <c:axId val="92054493"/>
      </c:barChart>
      <c:catAx>
        <c:axId val="481702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054493"/>
        <c:crosses val="autoZero"/>
        <c:auto val="1"/>
        <c:lblAlgn val="ctr"/>
        <c:lblOffset val="100"/>
        <c:noMultiLvlLbl val="0"/>
      </c:catAx>
      <c:valAx>
        <c:axId val="920544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1702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2</xdr:row>
      <xdr:rowOff>160920</xdr:rowOff>
    </xdr:from>
    <xdr:to>
      <xdr:col>27</xdr:col>
      <xdr:colOff>21600</xdr:colOff>
      <xdr:row>15</xdr:row>
      <xdr:rowOff>2880</xdr:rowOff>
    </xdr:to>
    <xdr:graphicFrame>
      <xdr:nvGraphicFramePr>
        <xdr:cNvPr id="0" name="Chart 1"/>
        <xdr:cNvGraphicFramePr/>
      </xdr:nvGraphicFramePr>
      <xdr:xfrm>
        <a:off x="1649340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0</xdr:colOff>
      <xdr:row>19</xdr:row>
      <xdr:rowOff>160920</xdr:rowOff>
    </xdr:from>
    <xdr:to>
      <xdr:col>27</xdr:col>
      <xdr:colOff>21600</xdr:colOff>
      <xdr:row>33</xdr:row>
      <xdr:rowOff>2880</xdr:rowOff>
    </xdr:to>
    <xdr:graphicFrame>
      <xdr:nvGraphicFramePr>
        <xdr:cNvPr id="1" name="Chart 2"/>
        <xdr:cNvGraphicFramePr/>
      </xdr:nvGraphicFramePr>
      <xdr:xfrm>
        <a:off x="16493400" y="41911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36</xdr:row>
      <xdr:rowOff>160920</xdr:rowOff>
    </xdr:from>
    <xdr:to>
      <xdr:col>27</xdr:col>
      <xdr:colOff>21600</xdr:colOff>
      <xdr:row>50</xdr:row>
      <xdr:rowOff>2880</xdr:rowOff>
    </xdr:to>
    <xdr:graphicFrame>
      <xdr:nvGraphicFramePr>
        <xdr:cNvPr id="2" name="Chart 3"/>
        <xdr:cNvGraphicFramePr/>
      </xdr:nvGraphicFramePr>
      <xdr:xfrm>
        <a:off x="16493400" y="76201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B1:C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30" hidden="false" customHeight="true" outlineLevel="0" collapsed="false">
      <c r="B4" s="3" t="s">
        <v>2</v>
      </c>
      <c r="C4" s="4" t="s">
        <v>3</v>
      </c>
    </row>
    <row r="5" customFormat="false" ht="30" hidden="false" customHeight="true" outlineLevel="0" collapsed="false">
      <c r="B5" s="3" t="s">
        <v>4</v>
      </c>
      <c r="C5" s="4" t="s">
        <v>5</v>
      </c>
    </row>
    <row r="6" customFormat="false" ht="30" hidden="false" customHeight="true" outlineLevel="0" collapsed="false">
      <c r="B6" s="3" t="s">
        <v>6</v>
      </c>
      <c r="C6" s="4" t="s">
        <v>7</v>
      </c>
    </row>
    <row r="7" customFormat="false" ht="30" hidden="false" customHeight="true" outlineLevel="0" collapsed="false">
      <c r="B7" s="3" t="s">
        <v>8</v>
      </c>
      <c r="C7" s="4" t="s">
        <v>9</v>
      </c>
    </row>
    <row r="8" customFormat="false" ht="30" hidden="false" customHeight="true" outlineLevel="0" collapsed="false">
      <c r="B8" s="3" t="s">
        <v>10</v>
      </c>
      <c r="C8" s="4" t="s">
        <v>11</v>
      </c>
    </row>
    <row r="9" customFormat="false" ht="30" hidden="false" customHeight="true" outlineLevel="0" collapsed="false">
      <c r="B9" s="3" t="s">
        <v>12</v>
      </c>
      <c r="C9" s="4" t="s">
        <v>13</v>
      </c>
    </row>
    <row r="10" customFormat="false" ht="30" hidden="false" customHeight="true" outlineLevel="0" collapsed="false">
      <c r="B10" s="3" t="s">
        <v>14</v>
      </c>
      <c r="C10" s="4" t="s">
        <v>15</v>
      </c>
    </row>
    <row r="11" customFormat="false" ht="15.75" hidden="false" customHeight="true" outlineLevel="0" collapsed="false">
      <c r="B11" s="3" t="s">
        <v>16</v>
      </c>
      <c r="C11" s="4" t="s">
        <v>17</v>
      </c>
    </row>
    <row r="12" customFormat="false" ht="30" hidden="false" customHeight="true" outlineLevel="0" collapsed="false">
      <c r="B12" s="3" t="s">
        <v>18</v>
      </c>
      <c r="C12" s="4" t="s">
        <v>19</v>
      </c>
    </row>
    <row r="13" customFormat="false" ht="30" hidden="false" customHeight="true" outlineLevel="0" collapsed="false">
      <c r="B13" s="3" t="s">
        <v>20</v>
      </c>
      <c r="C13" s="4" t="s">
        <v>21</v>
      </c>
    </row>
    <row r="14" customFormat="false" ht="30" hidden="false" customHeight="true" outlineLevel="0" collapsed="false">
      <c r="B14" s="3" t="s">
        <v>22</v>
      </c>
      <c r="C14" s="4" t="s">
        <v>23</v>
      </c>
    </row>
    <row r="15" customFormat="false" ht="15.75" hidden="false" customHeight="true" outlineLevel="0" collapsed="false">
      <c r="B15" s="3" t="s">
        <v>24</v>
      </c>
      <c r="C15" s="4" t="s">
        <v>25</v>
      </c>
    </row>
    <row r="16" customFormat="false" ht="15.75" hidden="false" customHeight="true" outlineLevel="0" collapsed="false">
      <c r="B16" s="3" t="s">
        <v>26</v>
      </c>
      <c r="C16" s="4" t="s">
        <v>27</v>
      </c>
    </row>
    <row r="17" customFormat="false" ht="15.75" hidden="false" customHeight="true" outlineLevel="0" collapsed="false">
      <c r="B17" s="3" t="s">
        <v>28</v>
      </c>
      <c r="C17" s="4" t="s">
        <v>29</v>
      </c>
    </row>
    <row r="18" customFormat="false" ht="30" hidden="false" customHeight="true" outlineLevel="0" collapsed="false">
      <c r="B18" s="3" t="s">
        <v>30</v>
      </c>
      <c r="C18" s="4" t="s">
        <v>31</v>
      </c>
    </row>
    <row r="20" customFormat="false" ht="15" hidden="false" customHeight="false" outlineLevel="0" collapsed="false">
      <c r="B20" s="3" t="s">
        <v>32</v>
      </c>
    </row>
    <row r="21" customFormat="false" ht="15" hidden="false" customHeight="false" outlineLevel="0" collapsed="false">
      <c r="C21" s="5" t="s">
        <v>33</v>
      </c>
    </row>
    <row r="22" customFormat="false" ht="15" hidden="false" customHeight="false" outlineLevel="0" collapsed="false">
      <c r="C22" s="6" t="s">
        <v>34</v>
      </c>
    </row>
    <row r="23" customFormat="false" ht="15" hidden="false" customHeight="false" outlineLevel="0" collapsed="false">
      <c r="C23" s="7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6" min="3" style="0" width="16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A4" s="8" t="s">
        <v>38</v>
      </c>
      <c r="B4" s="9"/>
      <c r="C4" s="9"/>
      <c r="D4" s="9"/>
      <c r="E4" s="9"/>
      <c r="F4" s="9"/>
      <c r="G4" s="9"/>
    </row>
    <row r="5" customFormat="false" ht="15" hidden="false" customHeight="false" outlineLevel="0" collapsed="false">
      <c r="B5" s="6" t="s">
        <v>39</v>
      </c>
      <c r="C5" s="10" t="n">
        <v>44409</v>
      </c>
      <c r="G5" s="2" t="s">
        <v>40</v>
      </c>
    </row>
    <row r="6" customFormat="false" ht="15" hidden="false" customHeight="false" outlineLevel="0" collapsed="false">
      <c r="B6" s="6" t="s">
        <v>41</v>
      </c>
      <c r="C6" s="11" t="n">
        <v>44470</v>
      </c>
      <c r="G6" s="2" t="s">
        <v>42</v>
      </c>
    </row>
    <row r="7" customFormat="false" ht="15" hidden="false" customHeight="false" outlineLevel="0" collapsed="false">
      <c r="B7" s="6" t="s">
        <v>43</v>
      </c>
      <c r="C7" s="11" t="n">
        <v>44562</v>
      </c>
      <c r="G7" s="2" t="s">
        <v>44</v>
      </c>
    </row>
    <row r="8" customFormat="false" ht="15" hidden="false" customHeight="false" outlineLevel="0" collapsed="false">
      <c r="B8" s="6" t="s">
        <v>45</v>
      </c>
      <c r="C8" s="11" t="n">
        <v>44228</v>
      </c>
      <c r="G8" s="2" t="s">
        <v>46</v>
      </c>
    </row>
    <row r="9" customFormat="false" ht="15" hidden="false" customHeight="false" outlineLevel="0" collapsed="false">
      <c r="B9" s="6" t="s">
        <v>47</v>
      </c>
      <c r="C9" s="11" t="n">
        <v>44378</v>
      </c>
      <c r="G9" s="2"/>
    </row>
    <row r="10" customFormat="false" ht="15" hidden="false" customHeight="false" outlineLevel="0" collapsed="false">
      <c r="B10" s="6" t="s">
        <v>48</v>
      </c>
      <c r="C10" s="11" t="n">
        <v>44501</v>
      </c>
      <c r="G10" s="2" t="s">
        <v>49</v>
      </c>
    </row>
    <row r="11" customFormat="false" ht="15" hidden="false" customHeight="false" outlineLevel="0" collapsed="false">
      <c r="B11" s="6" t="s">
        <v>50</v>
      </c>
      <c r="C11" s="11" t="n">
        <v>44531</v>
      </c>
      <c r="G11" s="2"/>
    </row>
    <row r="12" customFormat="false" ht="15" hidden="false" customHeight="false" outlineLevel="0" collapsed="false">
      <c r="B12" s="6" t="s">
        <v>51</v>
      </c>
      <c r="C12" s="11" t="n">
        <v>44228</v>
      </c>
      <c r="G12" s="2" t="s">
        <v>52</v>
      </c>
    </row>
    <row r="13" customFormat="false" ht="15" hidden="false" customHeight="false" outlineLevel="0" collapsed="false">
      <c r="B13" s="6" t="s">
        <v>53</v>
      </c>
      <c r="C13" s="11" t="n">
        <v>44287</v>
      </c>
      <c r="G13" s="2"/>
    </row>
    <row r="15" customFormat="false" ht="15" hidden="false" customHeight="false" outlineLevel="0" collapsed="false">
      <c r="A15" s="8" t="s">
        <v>54</v>
      </c>
      <c r="B15" s="9"/>
      <c r="C15" s="9"/>
      <c r="D15" s="9"/>
      <c r="E15" s="9"/>
      <c r="F15" s="9"/>
      <c r="G15" s="9"/>
    </row>
    <row r="16" customFormat="false" ht="15" hidden="false" customHeight="false" outlineLevel="0" collapsed="false">
      <c r="B16" s="6" t="s">
        <v>55</v>
      </c>
      <c r="C16" s="12" t="n">
        <v>0.85</v>
      </c>
      <c r="G16" s="2" t="s">
        <v>56</v>
      </c>
    </row>
    <row r="17" customFormat="false" ht="15" hidden="false" customHeight="false" outlineLevel="0" collapsed="false">
      <c r="B17" s="6" t="s">
        <v>57</v>
      </c>
      <c r="C17" s="13" t="n">
        <v>250</v>
      </c>
      <c r="G17" s="2" t="s">
        <v>58</v>
      </c>
    </row>
    <row r="18" customFormat="false" ht="15" hidden="false" customHeight="false" outlineLevel="0" collapsed="false">
      <c r="B18" s="6" t="s">
        <v>59</v>
      </c>
      <c r="C18" s="13" t="n">
        <v>12</v>
      </c>
      <c r="G18" s="2" t="s">
        <v>60</v>
      </c>
    </row>
    <row r="19" customFormat="false" ht="15" hidden="false" customHeight="false" outlineLevel="0" collapsed="false">
      <c r="B19" s="6" t="s">
        <v>61</v>
      </c>
      <c r="C19" s="14" t="n">
        <v>1.25</v>
      </c>
      <c r="G19" s="2" t="s">
        <v>62</v>
      </c>
    </row>
    <row r="20" customFormat="false" ht="15" hidden="false" customHeight="false" outlineLevel="0" collapsed="false">
      <c r="B20" s="6" t="s">
        <v>63</v>
      </c>
      <c r="C20" s="15" t="n">
        <v>0.8</v>
      </c>
      <c r="G20" s="2" t="s">
        <v>64</v>
      </c>
    </row>
    <row r="21" customFormat="false" ht="15" hidden="false" customHeight="false" outlineLevel="0" collapsed="false">
      <c r="B21" s="6" t="s">
        <v>65</v>
      </c>
      <c r="C21" s="13" t="n">
        <v>18</v>
      </c>
      <c r="G21" s="2" t="s">
        <v>66</v>
      </c>
    </row>
    <row r="22" customFormat="false" ht="15" hidden="false" customHeight="false" outlineLevel="0" collapsed="false">
      <c r="B22" s="6" t="s">
        <v>67</v>
      </c>
      <c r="C22" s="16" t="n">
        <v>0.3</v>
      </c>
      <c r="G22" s="2" t="s">
        <v>68</v>
      </c>
    </row>
    <row r="23" customFormat="false" ht="15" hidden="false" customHeight="false" outlineLevel="0" collapsed="false">
      <c r="B23" s="6" t="s">
        <v>69</v>
      </c>
      <c r="C23" s="15" t="n">
        <v>0.5</v>
      </c>
      <c r="G23" s="2" t="s">
        <v>70</v>
      </c>
    </row>
    <row r="24" customFormat="false" ht="15" hidden="false" customHeight="false" outlineLevel="0" collapsed="false">
      <c r="B24" s="6" t="s">
        <v>71</v>
      </c>
      <c r="C24" s="17" t="n">
        <v>90000</v>
      </c>
      <c r="G24" s="2" t="s">
        <v>72</v>
      </c>
    </row>
    <row r="25" customFormat="false" ht="15" hidden="false" customHeight="false" outlineLevel="0" collapsed="false">
      <c r="B25" s="6" t="s">
        <v>73</v>
      </c>
      <c r="C25" s="13" t="n">
        <v>2</v>
      </c>
      <c r="G25" s="2" t="s">
        <v>74</v>
      </c>
    </row>
    <row r="26" customFormat="false" ht="15" hidden="false" customHeight="false" outlineLevel="0" collapsed="false">
      <c r="B26" s="6" t="s">
        <v>75</v>
      </c>
      <c r="C26" s="13" t="n">
        <v>3</v>
      </c>
      <c r="G26" s="2" t="s">
        <v>74</v>
      </c>
    </row>
    <row r="27" customFormat="false" ht="15" hidden="false" customHeight="false" outlineLevel="0" collapsed="false">
      <c r="B27" s="6" t="s">
        <v>76</v>
      </c>
      <c r="C27" s="12" t="n">
        <v>0.15</v>
      </c>
      <c r="G27" s="2" t="s">
        <v>77</v>
      </c>
    </row>
    <row r="28" customFormat="false" ht="15" hidden="false" customHeight="false" outlineLevel="0" collapsed="false">
      <c r="B28" s="6" t="s">
        <v>78</v>
      </c>
      <c r="C28" s="13" t="n">
        <v>2</v>
      </c>
      <c r="G28" s="2" t="s">
        <v>79</v>
      </c>
    </row>
    <row r="30" customFormat="false" ht="15" hidden="false" customHeight="false" outlineLevel="0" collapsed="false">
      <c r="A30" s="8" t="s">
        <v>80</v>
      </c>
      <c r="B30" s="9"/>
      <c r="C30" s="9"/>
      <c r="D30" s="9"/>
      <c r="E30" s="9"/>
      <c r="F30" s="9"/>
      <c r="G30" s="9"/>
    </row>
    <row r="31" customFormat="false" ht="30" hidden="false" customHeight="true" outlineLevel="0" collapsed="false">
      <c r="B31" s="18" t="s">
        <v>81</v>
      </c>
      <c r="C31" s="18" t="s">
        <v>82</v>
      </c>
      <c r="D31" s="18" t="s">
        <v>83</v>
      </c>
      <c r="E31" s="18" t="s">
        <v>84</v>
      </c>
      <c r="F31" s="18" t="s">
        <v>85</v>
      </c>
      <c r="G31" s="18" t="s">
        <v>86</v>
      </c>
    </row>
    <row r="32" customFormat="false" ht="15" hidden="false" customHeight="false" outlineLevel="0" collapsed="false">
      <c r="B32" s="6" t="s">
        <v>87</v>
      </c>
      <c r="C32" s="19" t="n">
        <v>300</v>
      </c>
      <c r="D32" s="19" t="n">
        <v>200</v>
      </c>
      <c r="E32" s="19" t="n">
        <v>175</v>
      </c>
      <c r="F32" s="19" t="n">
        <v>125</v>
      </c>
      <c r="G32" s="2" t="s">
        <v>88</v>
      </c>
    </row>
    <row r="33" customFormat="false" ht="15" hidden="false" customHeight="false" outlineLevel="0" collapsed="false">
      <c r="B33" s="6" t="s">
        <v>89</v>
      </c>
      <c r="C33" s="19" t="n">
        <v>45</v>
      </c>
      <c r="D33" s="19" t="n">
        <v>30</v>
      </c>
      <c r="E33" s="19" t="n">
        <v>20</v>
      </c>
      <c r="F33" s="19" t="n">
        <v>12</v>
      </c>
      <c r="G33" s="2" t="s">
        <v>90</v>
      </c>
    </row>
    <row r="34" customFormat="false" ht="15" hidden="false" customHeight="false" outlineLevel="0" collapsed="false">
      <c r="B34" s="6" t="s">
        <v>91</v>
      </c>
      <c r="C34" s="12" t="n">
        <v>0.05</v>
      </c>
      <c r="D34" s="12" t="n">
        <v>0.15</v>
      </c>
      <c r="E34" s="12" t="n">
        <v>0.5</v>
      </c>
      <c r="F34" s="12" t="n">
        <v>1</v>
      </c>
      <c r="G34" s="2" t="s">
        <v>92</v>
      </c>
    </row>
    <row r="35" customFormat="false" ht="15" hidden="false" customHeight="false" outlineLevel="0" collapsed="false">
      <c r="B35" s="6" t="s">
        <v>93</v>
      </c>
      <c r="C35" s="19" t="n">
        <v>30</v>
      </c>
      <c r="D35" s="19" t="n">
        <v>30</v>
      </c>
      <c r="E35" s="19" t="n">
        <v>30</v>
      </c>
      <c r="F35" s="19" t="n">
        <v>20</v>
      </c>
      <c r="G35" s="2" t="s">
        <v>94</v>
      </c>
    </row>
    <row r="36" customFormat="false" ht="15" hidden="false" customHeight="false" outlineLevel="0" collapsed="false">
      <c r="B36" s="6" t="s">
        <v>95</v>
      </c>
      <c r="C36" s="13" t="n">
        <v>3</v>
      </c>
      <c r="D36" s="13" t="n">
        <v>3</v>
      </c>
      <c r="E36" s="13" t="n">
        <v>4</v>
      </c>
      <c r="F36" s="13" t="n">
        <v>6</v>
      </c>
      <c r="G36" s="2" t="s">
        <v>96</v>
      </c>
    </row>
    <row r="37" customFormat="false" ht="15" hidden="false" customHeight="false" outlineLevel="0" collapsed="false">
      <c r="B37" s="6" t="s">
        <v>97</v>
      </c>
      <c r="C37" s="17" t="n">
        <v>160000</v>
      </c>
      <c r="D37" s="17" t="n">
        <v>190000</v>
      </c>
      <c r="E37" s="17" t="n">
        <v>220000</v>
      </c>
      <c r="F37" s="17" t="n">
        <v>300000</v>
      </c>
      <c r="G37" s="2" t="s">
        <v>98</v>
      </c>
    </row>
    <row r="38" customFormat="false" ht="15" hidden="false" customHeight="false" outlineLevel="0" collapsed="false">
      <c r="B38" s="6" t="s">
        <v>99</v>
      </c>
      <c r="C38" s="17" t="n">
        <v>210000</v>
      </c>
      <c r="D38" s="17" t="n">
        <v>210000</v>
      </c>
      <c r="E38" s="17" t="n">
        <v>210000</v>
      </c>
      <c r="F38" s="17" t="n">
        <v>240000</v>
      </c>
      <c r="G38" s="2" t="s">
        <v>100</v>
      </c>
    </row>
    <row r="39" customFormat="false" ht="15" hidden="false" customHeight="false" outlineLevel="0" collapsed="false">
      <c r="B39" s="6" t="s">
        <v>101</v>
      </c>
      <c r="C39" s="20" t="n">
        <v>400000</v>
      </c>
      <c r="D39" s="20" t="n">
        <v>650000</v>
      </c>
      <c r="E39" s="20" t="n">
        <v>600000</v>
      </c>
      <c r="F39" s="20" t="n">
        <v>900000</v>
      </c>
      <c r="G39" s="2" t="s">
        <v>102</v>
      </c>
    </row>
    <row r="40" customFormat="false" ht="15" hidden="false" customHeight="false" outlineLevel="0" collapsed="false">
      <c r="B40" s="6" t="s">
        <v>103</v>
      </c>
      <c r="C40" s="15" t="n">
        <v>0.8</v>
      </c>
      <c r="D40" s="15" t="n">
        <v>0.8</v>
      </c>
      <c r="E40" s="15" t="n">
        <v>0.8</v>
      </c>
      <c r="F40" s="15" t="n">
        <v>0.8</v>
      </c>
      <c r="G40" s="2" t="s">
        <v>104</v>
      </c>
    </row>
    <row r="41" customFormat="false" ht="15" hidden="false" customHeight="false" outlineLevel="0" collapsed="false">
      <c r="B41" s="6" t="s">
        <v>105</v>
      </c>
      <c r="C41" s="13" t="n">
        <v>1</v>
      </c>
      <c r="D41" s="13" t="n">
        <v>1</v>
      </c>
      <c r="E41" s="13" t="n">
        <v>1</v>
      </c>
      <c r="F41" s="13" t="n">
        <v>0</v>
      </c>
      <c r="G41" s="2" t="s">
        <v>106</v>
      </c>
    </row>
    <row r="42" customFormat="false" ht="15" hidden="false" customHeight="false" outlineLevel="0" collapsed="false">
      <c r="B42" s="6" t="s">
        <v>107</v>
      </c>
      <c r="C42" s="13" t="n">
        <v>0</v>
      </c>
      <c r="D42" s="13" t="n">
        <v>0</v>
      </c>
      <c r="E42" s="13" t="n">
        <v>0</v>
      </c>
      <c r="F42" s="13" t="n">
        <v>1</v>
      </c>
      <c r="G42" s="2" t="s">
        <v>108</v>
      </c>
    </row>
    <row r="44" customFormat="false" ht="15" hidden="false" customHeight="false" outlineLevel="0" collapsed="false">
      <c r="A44" s="8" t="s">
        <v>109</v>
      </c>
      <c r="B44" s="9"/>
      <c r="C44" s="9"/>
      <c r="D44" s="9"/>
      <c r="E44" s="9"/>
      <c r="F44" s="9"/>
      <c r="G44" s="9"/>
    </row>
    <row r="45" customFormat="false" ht="15" hidden="false" customHeight="false" outlineLevel="0" collapsed="false">
      <c r="B45" s="6" t="s">
        <v>110</v>
      </c>
      <c r="C45" s="12" t="n">
        <v>0.3</v>
      </c>
      <c r="G45" s="2" t="s">
        <v>111</v>
      </c>
    </row>
    <row r="46" customFormat="false" ht="15" hidden="false" customHeight="false" outlineLevel="0" collapsed="false">
      <c r="B46" s="6" t="s">
        <v>112</v>
      </c>
      <c r="C46" s="13" t="n">
        <v>12</v>
      </c>
      <c r="G46" s="2" t="s">
        <v>113</v>
      </c>
    </row>
    <row r="47" customFormat="false" ht="15" hidden="false" customHeight="false" outlineLevel="0" collapsed="false">
      <c r="B47" s="6" t="s">
        <v>114</v>
      </c>
      <c r="C47" s="13" t="n">
        <v>2</v>
      </c>
      <c r="G47" s="2" t="s">
        <v>115</v>
      </c>
    </row>
    <row r="48" customFormat="false" ht="15" hidden="false" customHeight="false" outlineLevel="0" collapsed="false">
      <c r="B48" s="6" t="s">
        <v>116</v>
      </c>
      <c r="C48" s="13" t="n">
        <v>6</v>
      </c>
      <c r="G48" s="2" t="s">
        <v>117</v>
      </c>
    </row>
    <row r="49" customFormat="false" ht="15" hidden="false" customHeight="false" outlineLevel="0" collapsed="false">
      <c r="B49" s="6" t="s">
        <v>118</v>
      </c>
      <c r="C49" s="19" t="n">
        <v>0</v>
      </c>
      <c r="G49" s="2" t="s">
        <v>119</v>
      </c>
    </row>
    <row r="50" customFormat="false" ht="15" hidden="false" customHeight="false" outlineLevel="0" collapsed="false">
      <c r="A50" s="8" t="s">
        <v>120</v>
      </c>
      <c r="B50" s="9"/>
      <c r="C50" s="9"/>
      <c r="D50" s="9"/>
      <c r="E50" s="9"/>
      <c r="F50" s="9"/>
      <c r="G50" s="9"/>
    </row>
    <row r="51" customFormat="false" ht="30" hidden="false" customHeight="true" outlineLevel="0" collapsed="false">
      <c r="B51" s="18" t="s">
        <v>121</v>
      </c>
      <c r="C51" s="18" t="s">
        <v>122</v>
      </c>
      <c r="D51" s="18" t="s">
        <v>123</v>
      </c>
      <c r="E51" s="18" t="s">
        <v>124</v>
      </c>
      <c r="F51" s="18" t="s">
        <v>125</v>
      </c>
      <c r="G51" s="18" t="s">
        <v>126</v>
      </c>
    </row>
    <row r="52" customFormat="false" ht="15" hidden="false" customHeight="false" outlineLevel="0" collapsed="false">
      <c r="B52" s="6" t="s">
        <v>127</v>
      </c>
      <c r="C52" s="19" t="n">
        <v>1</v>
      </c>
      <c r="D52" s="19" t="n">
        <v>2</v>
      </c>
      <c r="E52" s="19" t="n">
        <v>2</v>
      </c>
      <c r="F52" s="19" t="n">
        <v>3</v>
      </c>
      <c r="G52" s="2" t="s">
        <v>128</v>
      </c>
    </row>
    <row r="53" customFormat="false" ht="15" hidden="false" customHeight="false" outlineLevel="0" collapsed="false">
      <c r="B53" s="6" t="s">
        <v>129</v>
      </c>
      <c r="C53" s="12" t="n">
        <v>0.25</v>
      </c>
      <c r="D53" s="12" t="n">
        <v>0.5</v>
      </c>
      <c r="E53" s="12" t="n">
        <v>1</v>
      </c>
      <c r="F53" s="12" t="n">
        <v>0.5</v>
      </c>
      <c r="G53" s="2" t="s">
        <v>130</v>
      </c>
    </row>
    <row r="54" customFormat="false" ht="15" hidden="false" customHeight="false" outlineLevel="0" collapsed="false">
      <c r="B54" s="6" t="s">
        <v>131</v>
      </c>
      <c r="C54" s="12" t="n">
        <v>0</v>
      </c>
      <c r="D54" s="12" t="n">
        <v>0.03</v>
      </c>
      <c r="E54" s="12" t="n">
        <v>0.06</v>
      </c>
      <c r="F54" s="12" t="n">
        <v>0.03</v>
      </c>
      <c r="G54" s="2" t="s">
        <v>132</v>
      </c>
    </row>
    <row r="55" customFormat="false" ht="15" hidden="false" customHeight="false" outlineLevel="0" collapsed="false">
      <c r="B55" s="6" t="s">
        <v>133</v>
      </c>
      <c r="C55" s="19" t="n">
        <v>1</v>
      </c>
      <c r="D55" s="19" t="n">
        <v>0</v>
      </c>
      <c r="E55" s="19" t="n">
        <v>0</v>
      </c>
      <c r="F55" s="19" t="n">
        <v>0</v>
      </c>
      <c r="G55" s="2" t="s">
        <v>134</v>
      </c>
    </row>
    <row r="56" customFormat="false" ht="51.75" hidden="false" customHeight="true" outlineLevel="0" collapsed="false">
      <c r="B56" s="6" t="s">
        <v>135</v>
      </c>
      <c r="C56" s="21" t="s">
        <v>136</v>
      </c>
      <c r="D56" s="21" t="s">
        <v>137</v>
      </c>
      <c r="E56" s="21" t="s">
        <v>138</v>
      </c>
      <c r="F56" s="21" t="s">
        <v>139</v>
      </c>
    </row>
    <row r="58" customFormat="false" ht="15" hidden="false" customHeight="false" outlineLevel="0" collapsed="false">
      <c r="A58" s="8" t="s">
        <v>140</v>
      </c>
      <c r="B58" s="9"/>
      <c r="C58" s="9"/>
      <c r="D58" s="9"/>
      <c r="E58" s="9"/>
      <c r="F58" s="9"/>
      <c r="G58" s="9"/>
    </row>
    <row r="59" customFormat="false" ht="15" hidden="false" customHeight="false" outlineLevel="0" collapsed="false">
      <c r="B59" s="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P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4" min="3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4"/>
    <col collapsed="false" customWidth="true" hidden="false" outlineLevel="0" max="16" min="12" style="0" width="9"/>
  </cols>
  <sheetData>
    <row r="1" customFormat="false" ht="30" hidden="false" customHeight="true" outlineLevel="0" collapsed="false">
      <c r="A1" s="18" t="s">
        <v>142</v>
      </c>
      <c r="B1" s="18" t="s">
        <v>143</v>
      </c>
      <c r="C1" s="18" t="s">
        <v>144</v>
      </c>
      <c r="D1" s="18" t="s">
        <v>145</v>
      </c>
      <c r="E1" s="18" t="s">
        <v>146</v>
      </c>
      <c r="F1" s="18" t="s">
        <v>147</v>
      </c>
      <c r="G1" s="18" t="s">
        <v>148</v>
      </c>
      <c r="H1" s="18" t="s">
        <v>149</v>
      </c>
      <c r="I1" s="18" t="s">
        <v>150</v>
      </c>
      <c r="J1" s="18" t="s">
        <v>151</v>
      </c>
      <c r="K1" s="18" t="s">
        <v>152</v>
      </c>
      <c r="L1" s="18" t="s">
        <v>153</v>
      </c>
      <c r="M1" s="18" t="s">
        <v>154</v>
      </c>
      <c r="N1" s="18" t="s">
        <v>155</v>
      </c>
      <c r="O1" s="18" t="s">
        <v>156</v>
      </c>
      <c r="P1" s="18" t="s">
        <v>157</v>
      </c>
    </row>
    <row r="2" customFormat="false" ht="15" hidden="false" customHeight="false" outlineLevel="0" collapsed="false">
      <c r="A2" s="11" t="n">
        <v>44228</v>
      </c>
      <c r="B2" s="5" t="s">
        <v>158</v>
      </c>
      <c r="C2" s="13" t="n">
        <v>127</v>
      </c>
      <c r="D2" s="13" t="n">
        <v>55</v>
      </c>
      <c r="E2" s="13" t="n">
        <v>43</v>
      </c>
      <c r="F2" s="13" t="n">
        <v>14</v>
      </c>
      <c r="G2" s="20" t="n">
        <v>43406</v>
      </c>
      <c r="H2" s="7" t="str">
        <f aca="false">INDEX(Seg_Map!$B$4:$B$8,MATCH($B2,Seg_Map!$A$4:$A$8,0))</f>
        <v>Velocity (1-50)</v>
      </c>
      <c r="I2" s="7" t="str">
        <f aca="false">INDEX(Seg_Map!$C$4:$C$8,MATCH($B2,Seg_Map!$A$4:$A$8,0))</f>
        <v>Velocity</v>
      </c>
      <c r="J2" s="7" t="str">
        <f aca="false">INDEX(Seg_Map!$D$4:$D$8,MATCH($B2,Seg_Map!$A$4:$A$8,0))</f>
        <v>SMB (1-100)</v>
      </c>
      <c r="K2" s="7" t="str">
        <f aca="false">INDEX(Seg_Map!$E$4:$E$8,MATCH($B2,Seg_Map!$A$4:$A$8,0))</f>
        <v>SMB (1-50)</v>
      </c>
      <c r="L2" s="6" t="n">
        <f aca="false">IF(AND($A2&gt;=Inputs!$C$5,$A2&lt;=Inputs!$C$6),1,0)</f>
        <v>0</v>
      </c>
      <c r="M2" s="6" t="n">
        <f aca="false">IF($A2=Inputs!$C$7,1,0)</f>
        <v>0</v>
      </c>
      <c r="N2" s="6" t="n">
        <f aca="false">IF(AND($A2&gt;=Inputs!$C$8,$A2&lt;=Inputs!$C$9),1,0)</f>
        <v>1</v>
      </c>
      <c r="O2" s="6" t="n">
        <f aca="false">IF(AND($A2&gt;=Inputs!$C$10,$A2&lt;=Inputs!$C$11),1,0)</f>
        <v>0</v>
      </c>
      <c r="P2" s="6" t="n">
        <f aca="false">IF(AND($A2&gt;=Inputs!$C$12,$A2&lt;=Inputs!$C$13),1,0)</f>
        <v>1</v>
      </c>
    </row>
    <row r="3" customFormat="false" ht="15" hidden="false" customHeight="false" outlineLevel="0" collapsed="false">
      <c r="A3" s="11" t="n">
        <v>44228</v>
      </c>
      <c r="B3" s="5" t="s">
        <v>159</v>
      </c>
      <c r="C3" s="13" t="n">
        <v>208</v>
      </c>
      <c r="D3" s="13" t="n">
        <v>92</v>
      </c>
      <c r="E3" s="13" t="n">
        <v>72</v>
      </c>
      <c r="F3" s="13" t="n">
        <v>23</v>
      </c>
      <c r="G3" s="20" t="n">
        <v>90266</v>
      </c>
      <c r="H3" s="7" t="str">
        <f aca="false">INDEX(Seg_Map!$B$4:$B$8,MATCH($B3,Seg_Map!$A$4:$A$8,0))</f>
        <v>Velocity (1-50)</v>
      </c>
      <c r="I3" s="7" t="str">
        <f aca="false">INDEX(Seg_Map!$C$4:$C$8,MATCH($B3,Seg_Map!$A$4:$A$8,0))</f>
        <v>Velocity</v>
      </c>
      <c r="J3" s="7" t="str">
        <f aca="false">INDEX(Seg_Map!$D$4:$D$8,MATCH($B3,Seg_Map!$A$4:$A$8,0))</f>
        <v>SMB (1-100)</v>
      </c>
      <c r="K3" s="7" t="str">
        <f aca="false">INDEX(Seg_Map!$E$4:$E$8,MATCH($B3,Seg_Map!$A$4:$A$8,0))</f>
        <v>SMB (1-50)</v>
      </c>
      <c r="L3" s="6" t="n">
        <f aca="false">IF(AND($A3&gt;=Inputs!$C$5,$A3&lt;=Inputs!$C$6),1,0)</f>
        <v>0</v>
      </c>
      <c r="M3" s="6" t="n">
        <f aca="false">IF($A3=Inputs!$C$7,1,0)</f>
        <v>0</v>
      </c>
      <c r="N3" s="6" t="n">
        <f aca="false">IF(AND($A3&gt;=Inputs!$C$8,$A3&lt;=Inputs!$C$9),1,0)</f>
        <v>1</v>
      </c>
      <c r="O3" s="6" t="n">
        <f aca="false">IF(AND($A3&gt;=Inputs!$C$10,$A3&lt;=Inputs!$C$11),1,0)</f>
        <v>0</v>
      </c>
      <c r="P3" s="6" t="n">
        <f aca="false">IF(AND($A3&gt;=Inputs!$C$12,$A3&lt;=Inputs!$C$13),1,0)</f>
        <v>1</v>
      </c>
    </row>
    <row r="4" customFormat="false" ht="15" hidden="false" customHeight="false" outlineLevel="0" collapsed="false">
      <c r="A4" s="11" t="n">
        <v>44228</v>
      </c>
      <c r="B4" s="5" t="s">
        <v>160</v>
      </c>
      <c r="C4" s="13" t="n">
        <v>231</v>
      </c>
      <c r="D4" s="13" t="n">
        <v>97</v>
      </c>
      <c r="E4" s="13" t="n">
        <v>77</v>
      </c>
      <c r="F4" s="13" t="n">
        <v>25</v>
      </c>
      <c r="G4" s="20" t="n">
        <v>228974</v>
      </c>
      <c r="H4" s="7" t="str">
        <f aca="false">INDEX(Seg_Map!$B$4:$B$8,MATCH($B4,Seg_Map!$A$4:$A$8,0))</f>
        <v>Emerging MM (51-100)</v>
      </c>
      <c r="I4" s="7" t="str">
        <f aca="false">INDEX(Seg_Map!$C$4:$C$8,MATCH($B4,Seg_Map!$A$4:$A$8,0))</f>
        <v>Mid-Market</v>
      </c>
      <c r="J4" s="7" t="str">
        <f aca="false">INDEX(Seg_Map!$D$4:$D$8,MATCH($B4,Seg_Map!$A$4:$A$8,0))</f>
        <v>SMB (1-100)</v>
      </c>
      <c r="K4" s="7" t="str">
        <f aca="false">INDEX(Seg_Map!$E$4:$E$8,MATCH($B4,Seg_Map!$A$4:$A$8,0))</f>
        <v>MM (51-500)</v>
      </c>
      <c r="L4" s="6" t="n">
        <f aca="false">IF(AND($A4&gt;=Inputs!$C$5,$A4&lt;=Inputs!$C$6),1,0)</f>
        <v>0</v>
      </c>
      <c r="M4" s="6" t="n">
        <f aca="false">IF($A4=Inputs!$C$7,1,0)</f>
        <v>0</v>
      </c>
      <c r="N4" s="6" t="n">
        <f aca="false">IF(AND($A4&gt;=Inputs!$C$8,$A4&lt;=Inputs!$C$9),1,0)</f>
        <v>1</v>
      </c>
      <c r="O4" s="6" t="n">
        <f aca="false">IF(AND($A4&gt;=Inputs!$C$10,$A4&lt;=Inputs!$C$11),1,0)</f>
        <v>0</v>
      </c>
      <c r="P4" s="6" t="n">
        <f aca="false">IF(AND($A4&gt;=Inputs!$C$12,$A4&lt;=Inputs!$C$13),1,0)</f>
        <v>1</v>
      </c>
    </row>
    <row r="5" customFormat="false" ht="15" hidden="false" customHeight="false" outlineLevel="0" collapsed="false">
      <c r="A5" s="11" t="n">
        <v>44228</v>
      </c>
      <c r="B5" s="5" t="s">
        <v>161</v>
      </c>
      <c r="C5" s="13" t="n">
        <v>462</v>
      </c>
      <c r="D5" s="13" t="n">
        <v>143</v>
      </c>
      <c r="E5" s="13" t="n">
        <v>99</v>
      </c>
      <c r="F5" s="13" t="n">
        <v>25</v>
      </c>
      <c r="G5" s="20" t="n">
        <v>273899</v>
      </c>
      <c r="H5" s="7" t="str">
        <f aca="false">INDEX(Seg_Map!$B$4:$B$8,MATCH($B5,Seg_Map!$A$4:$A$8,0))</f>
        <v>Core MM (101-500)</v>
      </c>
      <c r="I5" s="7" t="str">
        <f aca="false">INDEX(Seg_Map!$C$4:$C$8,MATCH($B5,Seg_Map!$A$4:$A$8,0))</f>
        <v>Mid-Market</v>
      </c>
      <c r="J5" s="7" t="str">
        <f aca="false">INDEX(Seg_Map!$D$4:$D$8,MATCH($B5,Seg_Map!$A$4:$A$8,0))</f>
        <v>MM (101-500)</v>
      </c>
      <c r="K5" s="7" t="str">
        <f aca="false">INDEX(Seg_Map!$E$4:$E$8,MATCH($B5,Seg_Map!$A$4:$A$8,0))</f>
        <v>MM (51-500)</v>
      </c>
      <c r="L5" s="6" t="n">
        <f aca="false">IF(AND($A5&gt;=Inputs!$C$5,$A5&lt;=Inputs!$C$6),1,0)</f>
        <v>0</v>
      </c>
      <c r="M5" s="6" t="n">
        <f aca="false">IF($A5=Inputs!$C$7,1,0)</f>
        <v>0</v>
      </c>
      <c r="N5" s="6" t="n">
        <f aca="false">IF(AND($A5&gt;=Inputs!$C$8,$A5&lt;=Inputs!$C$9),1,0)</f>
        <v>1</v>
      </c>
      <c r="O5" s="6" t="n">
        <f aca="false">IF(AND($A5&gt;=Inputs!$C$10,$A5&lt;=Inputs!$C$11),1,0)</f>
        <v>0</v>
      </c>
      <c r="P5" s="6" t="n">
        <f aca="false">IF(AND($A5&gt;=Inputs!$C$12,$A5&lt;=Inputs!$C$13),1,0)</f>
        <v>1</v>
      </c>
    </row>
    <row r="6" customFormat="false" ht="15" hidden="false" customHeight="false" outlineLevel="0" collapsed="false">
      <c r="A6" s="11" t="n">
        <v>44228</v>
      </c>
      <c r="B6" s="5" t="s">
        <v>162</v>
      </c>
      <c r="C6" s="13" t="n">
        <v>127</v>
      </c>
      <c r="D6" s="13" t="n">
        <v>23</v>
      </c>
      <c r="E6" s="13" t="n">
        <v>15</v>
      </c>
      <c r="F6" s="13" t="n">
        <v>3</v>
      </c>
      <c r="G6" s="20" t="n">
        <v>53825</v>
      </c>
      <c r="H6" s="7" t="str">
        <f aca="false">INDEX(Seg_Map!$B$4:$B$8,MATCH($B6,Seg_Map!$A$4:$A$8,0))</f>
        <v>Enterprise (501+)</v>
      </c>
      <c r="I6" s="7" t="str">
        <f aca="false">INDEX(Seg_Map!$C$4:$C$8,MATCH($B6,Seg_Map!$A$4:$A$8,0))</f>
        <v>Enterprise</v>
      </c>
      <c r="J6" s="7" t="str">
        <f aca="false">INDEX(Seg_Map!$D$4:$D$8,MATCH($B6,Seg_Map!$A$4:$A$8,0))</f>
        <v>ENT (501+)</v>
      </c>
      <c r="K6" s="7" t="str">
        <f aca="false">INDEX(Seg_Map!$E$4:$E$8,MATCH($B6,Seg_Map!$A$4:$A$8,0))</f>
        <v>ENT (501+)</v>
      </c>
      <c r="L6" s="6" t="n">
        <f aca="false">IF(AND($A6&gt;=Inputs!$C$5,$A6&lt;=Inputs!$C$6),1,0)</f>
        <v>0</v>
      </c>
      <c r="M6" s="6" t="n">
        <f aca="false">IF($A6=Inputs!$C$7,1,0)</f>
        <v>0</v>
      </c>
      <c r="N6" s="6" t="n">
        <f aca="false">IF(AND($A6&gt;=Inputs!$C$8,$A6&lt;=Inputs!$C$9),1,0)</f>
        <v>1</v>
      </c>
      <c r="O6" s="6" t="n">
        <f aca="false">IF(AND($A6&gt;=Inputs!$C$10,$A6&lt;=Inputs!$C$11),1,0)</f>
        <v>0</v>
      </c>
      <c r="P6" s="6" t="n">
        <f aca="false">IF(AND($A6&gt;=Inputs!$C$12,$A6&lt;=Inputs!$C$13),1,0)</f>
        <v>1</v>
      </c>
    </row>
    <row r="7" customFormat="false" ht="15" hidden="false" customHeight="false" outlineLevel="0" collapsed="false">
      <c r="A7" s="11" t="n">
        <v>44256</v>
      </c>
      <c r="B7" s="5" t="s">
        <v>158</v>
      </c>
      <c r="C7" s="13" t="n">
        <v>109</v>
      </c>
      <c r="D7" s="13" t="n">
        <v>46</v>
      </c>
      <c r="E7" s="13" t="n">
        <v>36</v>
      </c>
      <c r="F7" s="13" t="n">
        <v>12</v>
      </c>
      <c r="G7" s="20" t="n">
        <v>35764</v>
      </c>
      <c r="H7" s="7" t="str">
        <f aca="false">INDEX(Seg_Map!$B$4:$B$8,MATCH($B7,Seg_Map!$A$4:$A$8,0))</f>
        <v>Velocity (1-50)</v>
      </c>
      <c r="I7" s="7" t="str">
        <f aca="false">INDEX(Seg_Map!$C$4:$C$8,MATCH($B7,Seg_Map!$A$4:$A$8,0))</f>
        <v>Velocity</v>
      </c>
      <c r="J7" s="7" t="str">
        <f aca="false">INDEX(Seg_Map!$D$4:$D$8,MATCH($B7,Seg_Map!$A$4:$A$8,0))</f>
        <v>SMB (1-100)</v>
      </c>
      <c r="K7" s="7" t="str">
        <f aca="false">INDEX(Seg_Map!$E$4:$E$8,MATCH($B7,Seg_Map!$A$4:$A$8,0))</f>
        <v>SMB (1-50)</v>
      </c>
      <c r="L7" s="6" t="n">
        <f aca="false">IF(AND($A7&gt;=Inputs!$C$5,$A7&lt;=Inputs!$C$6),1,0)</f>
        <v>0</v>
      </c>
      <c r="M7" s="6" t="n">
        <f aca="false">IF($A7=Inputs!$C$7,1,0)</f>
        <v>0</v>
      </c>
      <c r="N7" s="6" t="n">
        <f aca="false">IF(AND($A7&gt;=Inputs!$C$8,$A7&lt;=Inputs!$C$9),1,0)</f>
        <v>1</v>
      </c>
      <c r="O7" s="6" t="n">
        <f aca="false">IF(AND($A7&gt;=Inputs!$C$10,$A7&lt;=Inputs!$C$11),1,0)</f>
        <v>0</v>
      </c>
      <c r="P7" s="6" t="n">
        <f aca="false">IF(AND($A7&gt;=Inputs!$C$12,$A7&lt;=Inputs!$C$13),1,0)</f>
        <v>1</v>
      </c>
    </row>
    <row r="8" customFormat="false" ht="15" hidden="false" customHeight="false" outlineLevel="0" collapsed="false">
      <c r="A8" s="11" t="n">
        <v>44256</v>
      </c>
      <c r="B8" s="5" t="s">
        <v>159</v>
      </c>
      <c r="C8" s="13" t="n">
        <v>170</v>
      </c>
      <c r="D8" s="13" t="n">
        <v>73</v>
      </c>
      <c r="E8" s="13" t="n">
        <v>59</v>
      </c>
      <c r="F8" s="13" t="n">
        <v>19</v>
      </c>
      <c r="G8" s="20" t="n">
        <v>77239</v>
      </c>
      <c r="H8" s="7" t="str">
        <f aca="false">INDEX(Seg_Map!$B$4:$B$8,MATCH($B8,Seg_Map!$A$4:$A$8,0))</f>
        <v>Velocity (1-50)</v>
      </c>
      <c r="I8" s="7" t="str">
        <f aca="false">INDEX(Seg_Map!$C$4:$C$8,MATCH($B8,Seg_Map!$A$4:$A$8,0))</f>
        <v>Velocity</v>
      </c>
      <c r="J8" s="7" t="str">
        <f aca="false">INDEX(Seg_Map!$D$4:$D$8,MATCH($B8,Seg_Map!$A$4:$A$8,0))</f>
        <v>SMB (1-100)</v>
      </c>
      <c r="K8" s="7" t="str">
        <f aca="false">INDEX(Seg_Map!$E$4:$E$8,MATCH($B8,Seg_Map!$A$4:$A$8,0))</f>
        <v>SMB (1-50)</v>
      </c>
      <c r="L8" s="6" t="n">
        <f aca="false">IF(AND($A8&gt;=Inputs!$C$5,$A8&lt;=Inputs!$C$6),1,0)</f>
        <v>0</v>
      </c>
      <c r="M8" s="6" t="n">
        <f aca="false">IF($A8=Inputs!$C$7,1,0)</f>
        <v>0</v>
      </c>
      <c r="N8" s="6" t="n">
        <f aca="false">IF(AND($A8&gt;=Inputs!$C$8,$A8&lt;=Inputs!$C$9),1,0)</f>
        <v>1</v>
      </c>
      <c r="O8" s="6" t="n">
        <f aca="false">IF(AND($A8&gt;=Inputs!$C$10,$A8&lt;=Inputs!$C$11),1,0)</f>
        <v>0</v>
      </c>
      <c r="P8" s="6" t="n">
        <f aca="false">IF(AND($A8&gt;=Inputs!$C$12,$A8&lt;=Inputs!$C$13),1,0)</f>
        <v>1</v>
      </c>
    </row>
    <row r="9" customFormat="false" ht="15" hidden="false" customHeight="false" outlineLevel="0" collapsed="false">
      <c r="A9" s="11" t="n">
        <v>44256</v>
      </c>
      <c r="B9" s="5" t="s">
        <v>160</v>
      </c>
      <c r="C9" s="13" t="n">
        <v>231</v>
      </c>
      <c r="D9" s="13" t="n">
        <v>92</v>
      </c>
      <c r="E9" s="13" t="n">
        <v>73</v>
      </c>
      <c r="F9" s="13" t="n">
        <v>24</v>
      </c>
      <c r="G9" s="20" t="n">
        <v>219137</v>
      </c>
      <c r="H9" s="7" t="str">
        <f aca="false">INDEX(Seg_Map!$B$4:$B$8,MATCH($B9,Seg_Map!$A$4:$A$8,0))</f>
        <v>Emerging MM (51-100)</v>
      </c>
      <c r="I9" s="7" t="str">
        <f aca="false">INDEX(Seg_Map!$C$4:$C$8,MATCH($B9,Seg_Map!$A$4:$A$8,0))</f>
        <v>Mid-Market</v>
      </c>
      <c r="J9" s="7" t="str">
        <f aca="false">INDEX(Seg_Map!$D$4:$D$8,MATCH($B9,Seg_Map!$A$4:$A$8,0))</f>
        <v>SMB (1-100)</v>
      </c>
      <c r="K9" s="7" t="str">
        <f aca="false">INDEX(Seg_Map!$E$4:$E$8,MATCH($B9,Seg_Map!$A$4:$A$8,0))</f>
        <v>MM (51-500)</v>
      </c>
      <c r="L9" s="6" t="n">
        <f aca="false">IF(AND($A9&gt;=Inputs!$C$5,$A9&lt;=Inputs!$C$6),1,0)</f>
        <v>0</v>
      </c>
      <c r="M9" s="6" t="n">
        <f aca="false">IF($A9=Inputs!$C$7,1,0)</f>
        <v>0</v>
      </c>
      <c r="N9" s="6" t="n">
        <f aca="false">IF(AND($A9&gt;=Inputs!$C$8,$A9&lt;=Inputs!$C$9),1,0)</f>
        <v>1</v>
      </c>
      <c r="O9" s="6" t="n">
        <f aca="false">IF(AND($A9&gt;=Inputs!$C$10,$A9&lt;=Inputs!$C$11),1,0)</f>
        <v>0</v>
      </c>
      <c r="P9" s="6" t="n">
        <f aca="false">IF(AND($A9&gt;=Inputs!$C$12,$A9&lt;=Inputs!$C$13),1,0)</f>
        <v>1</v>
      </c>
    </row>
    <row r="10" customFormat="false" ht="15" hidden="false" customHeight="false" outlineLevel="0" collapsed="false">
      <c r="A10" s="11" t="n">
        <v>44256</v>
      </c>
      <c r="B10" s="5" t="s">
        <v>161</v>
      </c>
      <c r="C10" s="13" t="n">
        <v>510</v>
      </c>
      <c r="D10" s="13" t="n">
        <v>153</v>
      </c>
      <c r="E10" s="13" t="n">
        <v>104</v>
      </c>
      <c r="F10" s="13" t="n">
        <v>26</v>
      </c>
      <c r="G10" s="20" t="n">
        <v>274151</v>
      </c>
      <c r="H10" s="7" t="str">
        <f aca="false">INDEX(Seg_Map!$B$4:$B$8,MATCH($B10,Seg_Map!$A$4:$A$8,0))</f>
        <v>Core MM (101-500)</v>
      </c>
      <c r="I10" s="7" t="str">
        <f aca="false">INDEX(Seg_Map!$C$4:$C$8,MATCH($B10,Seg_Map!$A$4:$A$8,0))</f>
        <v>Mid-Market</v>
      </c>
      <c r="J10" s="7" t="str">
        <f aca="false">INDEX(Seg_Map!$D$4:$D$8,MATCH($B10,Seg_Map!$A$4:$A$8,0))</f>
        <v>MM (101-500)</v>
      </c>
      <c r="K10" s="7" t="str">
        <f aca="false">INDEX(Seg_Map!$E$4:$E$8,MATCH($B10,Seg_Map!$A$4:$A$8,0))</f>
        <v>MM (51-500)</v>
      </c>
      <c r="L10" s="6" t="n">
        <f aca="false">IF(AND($A10&gt;=Inputs!$C$5,$A10&lt;=Inputs!$C$6),1,0)</f>
        <v>0</v>
      </c>
      <c r="M10" s="6" t="n">
        <f aca="false">IF($A10=Inputs!$C$7,1,0)</f>
        <v>0</v>
      </c>
      <c r="N10" s="6" t="n">
        <f aca="false">IF(AND($A10&gt;=Inputs!$C$8,$A10&lt;=Inputs!$C$9),1,0)</f>
        <v>1</v>
      </c>
      <c r="O10" s="6" t="n">
        <f aca="false">IF(AND($A10&gt;=Inputs!$C$10,$A10&lt;=Inputs!$C$11),1,0)</f>
        <v>0</v>
      </c>
      <c r="P10" s="6" t="n">
        <f aca="false">IF(AND($A10&gt;=Inputs!$C$12,$A10&lt;=Inputs!$C$13),1,0)</f>
        <v>1</v>
      </c>
    </row>
    <row r="11" customFormat="false" ht="15" hidden="false" customHeight="false" outlineLevel="0" collapsed="false">
      <c r="A11" s="11" t="n">
        <v>44256</v>
      </c>
      <c r="B11" s="5" t="s">
        <v>162</v>
      </c>
      <c r="C11" s="13" t="n">
        <v>194</v>
      </c>
      <c r="D11" s="13" t="n">
        <v>37</v>
      </c>
      <c r="E11" s="13" t="n">
        <v>24</v>
      </c>
      <c r="F11" s="13" t="n">
        <v>5</v>
      </c>
      <c r="G11" s="20" t="n">
        <v>111848</v>
      </c>
      <c r="H11" s="7" t="str">
        <f aca="false">INDEX(Seg_Map!$B$4:$B$8,MATCH($B11,Seg_Map!$A$4:$A$8,0))</f>
        <v>Enterprise (501+)</v>
      </c>
      <c r="I11" s="7" t="str">
        <f aca="false">INDEX(Seg_Map!$C$4:$C$8,MATCH($B11,Seg_Map!$A$4:$A$8,0))</f>
        <v>Enterprise</v>
      </c>
      <c r="J11" s="7" t="str">
        <f aca="false">INDEX(Seg_Map!$D$4:$D$8,MATCH($B11,Seg_Map!$A$4:$A$8,0))</f>
        <v>ENT (501+)</v>
      </c>
      <c r="K11" s="7" t="str">
        <f aca="false">INDEX(Seg_Map!$E$4:$E$8,MATCH($B11,Seg_Map!$A$4:$A$8,0))</f>
        <v>ENT (501+)</v>
      </c>
      <c r="L11" s="6" t="n">
        <f aca="false">IF(AND($A11&gt;=Inputs!$C$5,$A11&lt;=Inputs!$C$6),1,0)</f>
        <v>0</v>
      </c>
      <c r="M11" s="6" t="n">
        <f aca="false">IF($A11=Inputs!$C$7,1,0)</f>
        <v>0</v>
      </c>
      <c r="N11" s="6" t="n">
        <f aca="false">IF(AND($A11&gt;=Inputs!$C$8,$A11&lt;=Inputs!$C$9),1,0)</f>
        <v>1</v>
      </c>
      <c r="O11" s="6" t="n">
        <f aca="false">IF(AND($A11&gt;=Inputs!$C$10,$A11&lt;=Inputs!$C$11),1,0)</f>
        <v>0</v>
      </c>
      <c r="P11" s="6" t="n">
        <f aca="false">IF(AND($A11&gt;=Inputs!$C$12,$A11&lt;=Inputs!$C$13),1,0)</f>
        <v>1</v>
      </c>
    </row>
    <row r="12" customFormat="false" ht="15" hidden="false" customHeight="false" outlineLevel="0" collapsed="false">
      <c r="A12" s="11" t="n">
        <v>44287</v>
      </c>
      <c r="B12" s="5" t="s">
        <v>158</v>
      </c>
      <c r="C12" s="13" t="n">
        <v>132</v>
      </c>
      <c r="D12" s="13" t="n">
        <v>53</v>
      </c>
      <c r="E12" s="13" t="n">
        <v>43</v>
      </c>
      <c r="F12" s="13" t="n">
        <v>14</v>
      </c>
      <c r="G12" s="20" t="n">
        <v>39525</v>
      </c>
      <c r="H12" s="7" t="str">
        <f aca="false">INDEX(Seg_Map!$B$4:$B$8,MATCH($B12,Seg_Map!$A$4:$A$8,0))</f>
        <v>Velocity (1-50)</v>
      </c>
      <c r="I12" s="7" t="str">
        <f aca="false">INDEX(Seg_Map!$C$4:$C$8,MATCH($B12,Seg_Map!$A$4:$A$8,0))</f>
        <v>Velocity</v>
      </c>
      <c r="J12" s="7" t="str">
        <f aca="false">INDEX(Seg_Map!$D$4:$D$8,MATCH($B12,Seg_Map!$A$4:$A$8,0))</f>
        <v>SMB (1-100)</v>
      </c>
      <c r="K12" s="7" t="str">
        <f aca="false">INDEX(Seg_Map!$E$4:$E$8,MATCH($B12,Seg_Map!$A$4:$A$8,0))</f>
        <v>SMB (1-50)</v>
      </c>
      <c r="L12" s="6" t="n">
        <f aca="false">IF(AND($A12&gt;=Inputs!$C$5,$A12&lt;=Inputs!$C$6),1,0)</f>
        <v>0</v>
      </c>
      <c r="M12" s="6" t="n">
        <f aca="false">IF($A12=Inputs!$C$7,1,0)</f>
        <v>0</v>
      </c>
      <c r="N12" s="6" t="n">
        <f aca="false">IF(AND($A12&gt;=Inputs!$C$8,$A12&lt;=Inputs!$C$9),1,0)</f>
        <v>1</v>
      </c>
      <c r="O12" s="6" t="n">
        <f aca="false">IF(AND($A12&gt;=Inputs!$C$10,$A12&lt;=Inputs!$C$11),1,0)</f>
        <v>0</v>
      </c>
      <c r="P12" s="6" t="n">
        <f aca="false">IF(AND($A12&gt;=Inputs!$C$12,$A12&lt;=Inputs!$C$13),1,0)</f>
        <v>1</v>
      </c>
    </row>
    <row r="13" customFormat="false" ht="15" hidden="false" customHeight="false" outlineLevel="0" collapsed="false">
      <c r="A13" s="11" t="n">
        <v>44287</v>
      </c>
      <c r="B13" s="5" t="s">
        <v>159</v>
      </c>
      <c r="C13" s="13" t="n">
        <v>197</v>
      </c>
      <c r="D13" s="13" t="n">
        <v>79</v>
      </c>
      <c r="E13" s="13" t="n">
        <v>62</v>
      </c>
      <c r="F13" s="13" t="n">
        <v>21</v>
      </c>
      <c r="G13" s="20" t="n">
        <v>83326</v>
      </c>
      <c r="H13" s="7" t="str">
        <f aca="false">INDEX(Seg_Map!$B$4:$B$8,MATCH($B13,Seg_Map!$A$4:$A$8,0))</f>
        <v>Velocity (1-50)</v>
      </c>
      <c r="I13" s="7" t="str">
        <f aca="false">INDEX(Seg_Map!$C$4:$C$8,MATCH($B13,Seg_Map!$A$4:$A$8,0))</f>
        <v>Velocity</v>
      </c>
      <c r="J13" s="7" t="str">
        <f aca="false">INDEX(Seg_Map!$D$4:$D$8,MATCH($B13,Seg_Map!$A$4:$A$8,0))</f>
        <v>SMB (1-100)</v>
      </c>
      <c r="K13" s="7" t="str">
        <f aca="false">INDEX(Seg_Map!$E$4:$E$8,MATCH($B13,Seg_Map!$A$4:$A$8,0))</f>
        <v>SMB (1-50)</v>
      </c>
      <c r="L13" s="6" t="n">
        <f aca="false">IF(AND($A13&gt;=Inputs!$C$5,$A13&lt;=Inputs!$C$6),1,0)</f>
        <v>0</v>
      </c>
      <c r="M13" s="6" t="n">
        <f aca="false">IF($A13=Inputs!$C$7,1,0)</f>
        <v>0</v>
      </c>
      <c r="N13" s="6" t="n">
        <f aca="false">IF(AND($A13&gt;=Inputs!$C$8,$A13&lt;=Inputs!$C$9),1,0)</f>
        <v>1</v>
      </c>
      <c r="O13" s="6" t="n">
        <f aca="false">IF(AND($A13&gt;=Inputs!$C$10,$A13&lt;=Inputs!$C$11),1,0)</f>
        <v>0</v>
      </c>
      <c r="P13" s="6" t="n">
        <f aca="false">IF(AND($A13&gt;=Inputs!$C$12,$A13&lt;=Inputs!$C$13),1,0)</f>
        <v>1</v>
      </c>
    </row>
    <row r="14" customFormat="false" ht="15" hidden="false" customHeight="false" outlineLevel="0" collapsed="false">
      <c r="A14" s="11" t="n">
        <v>44287</v>
      </c>
      <c r="B14" s="5" t="s">
        <v>160</v>
      </c>
      <c r="C14" s="13" t="n">
        <v>237</v>
      </c>
      <c r="D14" s="13" t="n">
        <v>95</v>
      </c>
      <c r="E14" s="13" t="n">
        <v>75</v>
      </c>
      <c r="F14" s="13" t="n">
        <v>24</v>
      </c>
      <c r="G14" s="20" t="n">
        <v>213142</v>
      </c>
      <c r="H14" s="7" t="str">
        <f aca="false">INDEX(Seg_Map!$B$4:$B$8,MATCH($B14,Seg_Map!$A$4:$A$8,0))</f>
        <v>Emerging MM (51-100)</v>
      </c>
      <c r="I14" s="7" t="str">
        <f aca="false">INDEX(Seg_Map!$C$4:$C$8,MATCH($B14,Seg_Map!$A$4:$A$8,0))</f>
        <v>Mid-Market</v>
      </c>
      <c r="J14" s="7" t="str">
        <f aca="false">INDEX(Seg_Map!$D$4:$D$8,MATCH($B14,Seg_Map!$A$4:$A$8,0))</f>
        <v>SMB (1-100)</v>
      </c>
      <c r="K14" s="7" t="str">
        <f aca="false">INDEX(Seg_Map!$E$4:$E$8,MATCH($B14,Seg_Map!$A$4:$A$8,0))</f>
        <v>MM (51-500)</v>
      </c>
      <c r="L14" s="6" t="n">
        <f aca="false">IF(AND($A14&gt;=Inputs!$C$5,$A14&lt;=Inputs!$C$6),1,0)</f>
        <v>0</v>
      </c>
      <c r="M14" s="6" t="n">
        <f aca="false">IF($A14=Inputs!$C$7,1,0)</f>
        <v>0</v>
      </c>
      <c r="N14" s="6" t="n">
        <f aca="false">IF(AND($A14&gt;=Inputs!$C$8,$A14&lt;=Inputs!$C$9),1,0)</f>
        <v>1</v>
      </c>
      <c r="O14" s="6" t="n">
        <f aca="false">IF(AND($A14&gt;=Inputs!$C$10,$A14&lt;=Inputs!$C$11),1,0)</f>
        <v>0</v>
      </c>
      <c r="P14" s="6" t="n">
        <f aca="false">IF(AND($A14&gt;=Inputs!$C$12,$A14&lt;=Inputs!$C$13),1,0)</f>
        <v>1</v>
      </c>
    </row>
    <row r="15" customFormat="false" ht="15" hidden="false" customHeight="false" outlineLevel="0" collapsed="false">
      <c r="A15" s="11" t="n">
        <v>44287</v>
      </c>
      <c r="B15" s="5" t="s">
        <v>161</v>
      </c>
      <c r="C15" s="13" t="n">
        <v>539</v>
      </c>
      <c r="D15" s="13" t="n">
        <v>151</v>
      </c>
      <c r="E15" s="13" t="n">
        <v>107</v>
      </c>
      <c r="F15" s="13" t="n">
        <v>30</v>
      </c>
      <c r="G15" s="20" t="n">
        <v>334115</v>
      </c>
      <c r="H15" s="7" t="str">
        <f aca="false">INDEX(Seg_Map!$B$4:$B$8,MATCH($B15,Seg_Map!$A$4:$A$8,0))</f>
        <v>Core MM (101-500)</v>
      </c>
      <c r="I15" s="7" t="str">
        <f aca="false">INDEX(Seg_Map!$C$4:$C$8,MATCH($B15,Seg_Map!$A$4:$A$8,0))</f>
        <v>Mid-Market</v>
      </c>
      <c r="J15" s="7" t="str">
        <f aca="false">INDEX(Seg_Map!$D$4:$D$8,MATCH($B15,Seg_Map!$A$4:$A$8,0))</f>
        <v>MM (101-500)</v>
      </c>
      <c r="K15" s="7" t="str">
        <f aca="false">INDEX(Seg_Map!$E$4:$E$8,MATCH($B15,Seg_Map!$A$4:$A$8,0))</f>
        <v>MM (51-500)</v>
      </c>
      <c r="L15" s="6" t="n">
        <f aca="false">IF(AND($A15&gt;=Inputs!$C$5,$A15&lt;=Inputs!$C$6),1,0)</f>
        <v>0</v>
      </c>
      <c r="M15" s="6" t="n">
        <f aca="false">IF($A15=Inputs!$C$7,1,0)</f>
        <v>0</v>
      </c>
      <c r="N15" s="6" t="n">
        <f aca="false">IF(AND($A15&gt;=Inputs!$C$8,$A15&lt;=Inputs!$C$9),1,0)</f>
        <v>1</v>
      </c>
      <c r="O15" s="6" t="n">
        <f aca="false">IF(AND($A15&gt;=Inputs!$C$10,$A15&lt;=Inputs!$C$11),1,0)</f>
        <v>0</v>
      </c>
      <c r="P15" s="6" t="n">
        <f aca="false">IF(AND($A15&gt;=Inputs!$C$12,$A15&lt;=Inputs!$C$13),1,0)</f>
        <v>1</v>
      </c>
    </row>
    <row r="16" customFormat="false" ht="15" hidden="false" customHeight="false" outlineLevel="0" collapsed="false">
      <c r="A16" s="11" t="n">
        <v>44287</v>
      </c>
      <c r="B16" s="5" t="s">
        <v>162</v>
      </c>
      <c r="C16" s="13" t="n">
        <v>210</v>
      </c>
      <c r="D16" s="13" t="n">
        <v>38</v>
      </c>
      <c r="E16" s="13" t="n">
        <v>25</v>
      </c>
      <c r="F16" s="13" t="n">
        <v>4</v>
      </c>
      <c r="G16" s="20" t="n">
        <v>86065</v>
      </c>
      <c r="H16" s="7" t="str">
        <f aca="false">INDEX(Seg_Map!$B$4:$B$8,MATCH($B16,Seg_Map!$A$4:$A$8,0))</f>
        <v>Enterprise (501+)</v>
      </c>
      <c r="I16" s="7" t="str">
        <f aca="false">INDEX(Seg_Map!$C$4:$C$8,MATCH($B16,Seg_Map!$A$4:$A$8,0))</f>
        <v>Enterprise</v>
      </c>
      <c r="J16" s="7" t="str">
        <f aca="false">INDEX(Seg_Map!$D$4:$D$8,MATCH($B16,Seg_Map!$A$4:$A$8,0))</f>
        <v>ENT (501+)</v>
      </c>
      <c r="K16" s="7" t="str">
        <f aca="false">INDEX(Seg_Map!$E$4:$E$8,MATCH($B16,Seg_Map!$A$4:$A$8,0))</f>
        <v>ENT (501+)</v>
      </c>
      <c r="L16" s="6" t="n">
        <f aca="false">IF(AND($A16&gt;=Inputs!$C$5,$A16&lt;=Inputs!$C$6),1,0)</f>
        <v>0</v>
      </c>
      <c r="M16" s="6" t="n">
        <f aca="false">IF($A16=Inputs!$C$7,1,0)</f>
        <v>0</v>
      </c>
      <c r="N16" s="6" t="n">
        <f aca="false">IF(AND($A16&gt;=Inputs!$C$8,$A16&lt;=Inputs!$C$9),1,0)</f>
        <v>1</v>
      </c>
      <c r="O16" s="6" t="n">
        <f aca="false">IF(AND($A16&gt;=Inputs!$C$10,$A16&lt;=Inputs!$C$11),1,0)</f>
        <v>0</v>
      </c>
      <c r="P16" s="6" t="n">
        <f aca="false">IF(AND($A16&gt;=Inputs!$C$12,$A16&lt;=Inputs!$C$13),1,0)</f>
        <v>1</v>
      </c>
    </row>
    <row r="17" customFormat="false" ht="15" hidden="false" customHeight="false" outlineLevel="0" collapsed="false">
      <c r="A17" s="11" t="n">
        <v>44317</v>
      </c>
      <c r="B17" s="5" t="s">
        <v>158</v>
      </c>
      <c r="C17" s="13" t="n">
        <v>112</v>
      </c>
      <c r="D17" s="13" t="n">
        <v>42</v>
      </c>
      <c r="E17" s="13" t="n">
        <v>35</v>
      </c>
      <c r="F17" s="13" t="n">
        <v>13</v>
      </c>
      <c r="G17" s="20" t="n">
        <v>38373</v>
      </c>
      <c r="H17" s="7" t="str">
        <f aca="false">INDEX(Seg_Map!$B$4:$B$8,MATCH($B17,Seg_Map!$A$4:$A$8,0))</f>
        <v>Velocity (1-50)</v>
      </c>
      <c r="I17" s="7" t="str">
        <f aca="false">INDEX(Seg_Map!$C$4:$C$8,MATCH($B17,Seg_Map!$A$4:$A$8,0))</f>
        <v>Velocity</v>
      </c>
      <c r="J17" s="7" t="str">
        <f aca="false">INDEX(Seg_Map!$D$4:$D$8,MATCH($B17,Seg_Map!$A$4:$A$8,0))</f>
        <v>SMB (1-100)</v>
      </c>
      <c r="K17" s="7" t="str">
        <f aca="false">INDEX(Seg_Map!$E$4:$E$8,MATCH($B17,Seg_Map!$A$4:$A$8,0))</f>
        <v>SMB (1-50)</v>
      </c>
      <c r="L17" s="6" t="n">
        <f aca="false">IF(AND($A17&gt;=Inputs!$C$5,$A17&lt;=Inputs!$C$6),1,0)</f>
        <v>0</v>
      </c>
      <c r="M17" s="6" t="n">
        <f aca="false">IF($A17=Inputs!$C$7,1,0)</f>
        <v>0</v>
      </c>
      <c r="N17" s="6" t="n">
        <f aca="false">IF(AND($A17&gt;=Inputs!$C$8,$A17&lt;=Inputs!$C$9),1,0)</f>
        <v>1</v>
      </c>
      <c r="O17" s="6" t="n">
        <f aca="false">IF(AND($A17&gt;=Inputs!$C$10,$A17&lt;=Inputs!$C$11),1,0)</f>
        <v>0</v>
      </c>
      <c r="P17" s="6" t="n">
        <f aca="false">IF(AND($A17&gt;=Inputs!$C$12,$A17&lt;=Inputs!$C$13),1,0)</f>
        <v>0</v>
      </c>
    </row>
    <row r="18" customFormat="false" ht="15" hidden="false" customHeight="false" outlineLevel="0" collapsed="false">
      <c r="A18" s="11" t="n">
        <v>44317</v>
      </c>
      <c r="B18" s="5" t="s">
        <v>159</v>
      </c>
      <c r="C18" s="13" t="n">
        <v>182</v>
      </c>
      <c r="D18" s="13" t="n">
        <v>71</v>
      </c>
      <c r="E18" s="13" t="n">
        <v>55</v>
      </c>
      <c r="F18" s="13" t="n">
        <v>21</v>
      </c>
      <c r="G18" s="20" t="n">
        <v>84055</v>
      </c>
      <c r="H18" s="7" t="str">
        <f aca="false">INDEX(Seg_Map!$B$4:$B$8,MATCH($B18,Seg_Map!$A$4:$A$8,0))</f>
        <v>Velocity (1-50)</v>
      </c>
      <c r="I18" s="7" t="str">
        <f aca="false">INDEX(Seg_Map!$C$4:$C$8,MATCH($B18,Seg_Map!$A$4:$A$8,0))</f>
        <v>Velocity</v>
      </c>
      <c r="J18" s="7" t="str">
        <f aca="false">INDEX(Seg_Map!$D$4:$D$8,MATCH($B18,Seg_Map!$A$4:$A$8,0))</f>
        <v>SMB (1-100)</v>
      </c>
      <c r="K18" s="7" t="str">
        <f aca="false">INDEX(Seg_Map!$E$4:$E$8,MATCH($B18,Seg_Map!$A$4:$A$8,0))</f>
        <v>SMB (1-50)</v>
      </c>
      <c r="L18" s="6" t="n">
        <f aca="false">IF(AND($A18&gt;=Inputs!$C$5,$A18&lt;=Inputs!$C$6),1,0)</f>
        <v>0</v>
      </c>
      <c r="M18" s="6" t="n">
        <f aca="false">IF($A18=Inputs!$C$7,1,0)</f>
        <v>0</v>
      </c>
      <c r="N18" s="6" t="n">
        <f aca="false">IF(AND($A18&gt;=Inputs!$C$8,$A18&lt;=Inputs!$C$9),1,0)</f>
        <v>1</v>
      </c>
      <c r="O18" s="6" t="n">
        <f aca="false">IF(AND($A18&gt;=Inputs!$C$10,$A18&lt;=Inputs!$C$11),1,0)</f>
        <v>0</v>
      </c>
      <c r="P18" s="6" t="n">
        <f aca="false">IF(AND($A18&gt;=Inputs!$C$12,$A18&lt;=Inputs!$C$13),1,0)</f>
        <v>0</v>
      </c>
    </row>
    <row r="19" customFormat="false" ht="15" hidden="false" customHeight="false" outlineLevel="0" collapsed="false">
      <c r="A19" s="11" t="n">
        <v>44317</v>
      </c>
      <c r="B19" s="5" t="s">
        <v>160</v>
      </c>
      <c r="C19" s="13" t="n">
        <v>266</v>
      </c>
      <c r="D19" s="13" t="n">
        <v>104</v>
      </c>
      <c r="E19" s="13" t="n">
        <v>82</v>
      </c>
      <c r="F19" s="13" t="n">
        <v>32</v>
      </c>
      <c r="G19" s="20" t="n">
        <v>289707</v>
      </c>
      <c r="H19" s="7" t="str">
        <f aca="false">INDEX(Seg_Map!$B$4:$B$8,MATCH($B19,Seg_Map!$A$4:$A$8,0))</f>
        <v>Emerging MM (51-100)</v>
      </c>
      <c r="I19" s="7" t="str">
        <f aca="false">INDEX(Seg_Map!$C$4:$C$8,MATCH($B19,Seg_Map!$A$4:$A$8,0))</f>
        <v>Mid-Market</v>
      </c>
      <c r="J19" s="7" t="str">
        <f aca="false">INDEX(Seg_Map!$D$4:$D$8,MATCH($B19,Seg_Map!$A$4:$A$8,0))</f>
        <v>SMB (1-100)</v>
      </c>
      <c r="K19" s="7" t="str">
        <f aca="false">INDEX(Seg_Map!$E$4:$E$8,MATCH($B19,Seg_Map!$A$4:$A$8,0))</f>
        <v>MM (51-500)</v>
      </c>
      <c r="L19" s="6" t="n">
        <f aca="false">IF(AND($A19&gt;=Inputs!$C$5,$A19&lt;=Inputs!$C$6),1,0)</f>
        <v>0</v>
      </c>
      <c r="M19" s="6" t="n">
        <f aca="false">IF($A19=Inputs!$C$7,1,0)</f>
        <v>0</v>
      </c>
      <c r="N19" s="6" t="n">
        <f aca="false">IF(AND($A19&gt;=Inputs!$C$8,$A19&lt;=Inputs!$C$9),1,0)</f>
        <v>1</v>
      </c>
      <c r="O19" s="6" t="n">
        <f aca="false">IF(AND($A19&gt;=Inputs!$C$10,$A19&lt;=Inputs!$C$11),1,0)</f>
        <v>0</v>
      </c>
      <c r="P19" s="6" t="n">
        <f aca="false">IF(AND($A19&gt;=Inputs!$C$12,$A19&lt;=Inputs!$C$13),1,0)</f>
        <v>0</v>
      </c>
    </row>
    <row r="20" customFormat="false" ht="15" hidden="false" customHeight="false" outlineLevel="0" collapsed="false">
      <c r="A20" s="11" t="n">
        <v>44317</v>
      </c>
      <c r="B20" s="5" t="s">
        <v>161</v>
      </c>
      <c r="C20" s="13" t="n">
        <v>559</v>
      </c>
      <c r="D20" s="13" t="n">
        <v>151</v>
      </c>
      <c r="E20" s="13" t="n">
        <v>109</v>
      </c>
      <c r="F20" s="13" t="n">
        <v>29</v>
      </c>
      <c r="G20" s="20" t="n">
        <v>354476</v>
      </c>
      <c r="H20" s="7" t="str">
        <f aca="false">INDEX(Seg_Map!$B$4:$B$8,MATCH($B20,Seg_Map!$A$4:$A$8,0))</f>
        <v>Core MM (101-500)</v>
      </c>
      <c r="I20" s="7" t="str">
        <f aca="false">INDEX(Seg_Map!$C$4:$C$8,MATCH($B20,Seg_Map!$A$4:$A$8,0))</f>
        <v>Mid-Market</v>
      </c>
      <c r="J20" s="7" t="str">
        <f aca="false">INDEX(Seg_Map!$D$4:$D$8,MATCH($B20,Seg_Map!$A$4:$A$8,0))</f>
        <v>MM (101-500)</v>
      </c>
      <c r="K20" s="7" t="str">
        <f aca="false">INDEX(Seg_Map!$E$4:$E$8,MATCH($B20,Seg_Map!$A$4:$A$8,0))</f>
        <v>MM (51-500)</v>
      </c>
      <c r="L20" s="6" t="n">
        <f aca="false">IF(AND($A20&gt;=Inputs!$C$5,$A20&lt;=Inputs!$C$6),1,0)</f>
        <v>0</v>
      </c>
      <c r="M20" s="6" t="n">
        <f aca="false">IF($A20=Inputs!$C$7,1,0)</f>
        <v>0</v>
      </c>
      <c r="N20" s="6" t="n">
        <f aca="false">IF(AND($A20&gt;=Inputs!$C$8,$A20&lt;=Inputs!$C$9),1,0)</f>
        <v>1</v>
      </c>
      <c r="O20" s="6" t="n">
        <f aca="false">IF(AND($A20&gt;=Inputs!$C$10,$A20&lt;=Inputs!$C$11),1,0)</f>
        <v>0</v>
      </c>
      <c r="P20" s="6" t="n">
        <f aca="false">IF(AND($A20&gt;=Inputs!$C$12,$A20&lt;=Inputs!$C$13),1,0)</f>
        <v>0</v>
      </c>
    </row>
    <row r="21" customFormat="false" ht="15" hidden="false" customHeight="false" outlineLevel="0" collapsed="false">
      <c r="A21" s="11" t="n">
        <v>44317</v>
      </c>
      <c r="B21" s="5" t="s">
        <v>162</v>
      </c>
      <c r="C21" s="13" t="n">
        <v>280</v>
      </c>
      <c r="D21" s="13" t="n">
        <v>56</v>
      </c>
      <c r="E21" s="13" t="n">
        <v>37</v>
      </c>
      <c r="F21" s="13" t="n">
        <v>8</v>
      </c>
      <c r="G21" s="20" t="n">
        <v>158846</v>
      </c>
      <c r="H21" s="7" t="str">
        <f aca="false">INDEX(Seg_Map!$B$4:$B$8,MATCH($B21,Seg_Map!$A$4:$A$8,0))</f>
        <v>Enterprise (501+)</v>
      </c>
      <c r="I21" s="7" t="str">
        <f aca="false">INDEX(Seg_Map!$C$4:$C$8,MATCH($B21,Seg_Map!$A$4:$A$8,0))</f>
        <v>Enterprise</v>
      </c>
      <c r="J21" s="7" t="str">
        <f aca="false">INDEX(Seg_Map!$D$4:$D$8,MATCH($B21,Seg_Map!$A$4:$A$8,0))</f>
        <v>ENT (501+)</v>
      </c>
      <c r="K21" s="7" t="str">
        <f aca="false">INDEX(Seg_Map!$E$4:$E$8,MATCH($B21,Seg_Map!$A$4:$A$8,0))</f>
        <v>ENT (501+)</v>
      </c>
      <c r="L21" s="6" t="n">
        <f aca="false">IF(AND($A21&gt;=Inputs!$C$5,$A21&lt;=Inputs!$C$6),1,0)</f>
        <v>0</v>
      </c>
      <c r="M21" s="6" t="n">
        <f aca="false">IF($A21=Inputs!$C$7,1,0)</f>
        <v>0</v>
      </c>
      <c r="N21" s="6" t="n">
        <f aca="false">IF(AND($A21&gt;=Inputs!$C$8,$A21&lt;=Inputs!$C$9),1,0)</f>
        <v>1</v>
      </c>
      <c r="O21" s="6" t="n">
        <f aca="false">IF(AND($A21&gt;=Inputs!$C$10,$A21&lt;=Inputs!$C$11),1,0)</f>
        <v>0</v>
      </c>
      <c r="P21" s="6" t="n">
        <f aca="false">IF(AND($A21&gt;=Inputs!$C$12,$A21&lt;=Inputs!$C$13),1,0)</f>
        <v>0</v>
      </c>
    </row>
    <row r="22" customFormat="false" ht="15" hidden="false" customHeight="false" outlineLevel="0" collapsed="false">
      <c r="A22" s="11" t="n">
        <v>44348</v>
      </c>
      <c r="B22" s="5" t="s">
        <v>158</v>
      </c>
      <c r="C22" s="13" t="n">
        <v>101</v>
      </c>
      <c r="D22" s="13" t="n">
        <v>37</v>
      </c>
      <c r="E22" s="13" t="n">
        <v>30</v>
      </c>
      <c r="F22" s="13" t="n">
        <v>10</v>
      </c>
      <c r="G22" s="20" t="n">
        <v>30704</v>
      </c>
      <c r="H22" s="7" t="str">
        <f aca="false">INDEX(Seg_Map!$B$4:$B$8,MATCH($B22,Seg_Map!$A$4:$A$8,0))</f>
        <v>Velocity (1-50)</v>
      </c>
      <c r="I22" s="7" t="str">
        <f aca="false">INDEX(Seg_Map!$C$4:$C$8,MATCH($B22,Seg_Map!$A$4:$A$8,0))</f>
        <v>Velocity</v>
      </c>
      <c r="J22" s="7" t="str">
        <f aca="false">INDEX(Seg_Map!$D$4:$D$8,MATCH($B22,Seg_Map!$A$4:$A$8,0))</f>
        <v>SMB (1-100)</v>
      </c>
      <c r="K22" s="7" t="str">
        <f aca="false">INDEX(Seg_Map!$E$4:$E$8,MATCH($B22,Seg_Map!$A$4:$A$8,0))</f>
        <v>SMB (1-50)</v>
      </c>
      <c r="L22" s="6" t="n">
        <f aca="false">IF(AND($A22&gt;=Inputs!$C$5,$A22&lt;=Inputs!$C$6),1,0)</f>
        <v>0</v>
      </c>
      <c r="M22" s="6" t="n">
        <f aca="false">IF($A22=Inputs!$C$7,1,0)</f>
        <v>0</v>
      </c>
      <c r="N22" s="6" t="n">
        <f aca="false">IF(AND($A22&gt;=Inputs!$C$8,$A22&lt;=Inputs!$C$9),1,0)</f>
        <v>1</v>
      </c>
      <c r="O22" s="6" t="n">
        <f aca="false">IF(AND($A22&gt;=Inputs!$C$10,$A22&lt;=Inputs!$C$11),1,0)</f>
        <v>0</v>
      </c>
      <c r="P22" s="6" t="n">
        <f aca="false">IF(AND($A22&gt;=Inputs!$C$12,$A22&lt;=Inputs!$C$13),1,0)</f>
        <v>0</v>
      </c>
    </row>
    <row r="23" customFormat="false" ht="15" hidden="false" customHeight="false" outlineLevel="0" collapsed="false">
      <c r="A23" s="11" t="n">
        <v>44348</v>
      </c>
      <c r="B23" s="5" t="s">
        <v>159</v>
      </c>
      <c r="C23" s="13" t="n">
        <v>217</v>
      </c>
      <c r="D23" s="13" t="n">
        <v>80</v>
      </c>
      <c r="E23" s="13" t="n">
        <v>66</v>
      </c>
      <c r="F23" s="13" t="n">
        <v>22</v>
      </c>
      <c r="G23" s="20" t="n">
        <v>91519</v>
      </c>
      <c r="H23" s="7" t="str">
        <f aca="false">INDEX(Seg_Map!$B$4:$B$8,MATCH($B23,Seg_Map!$A$4:$A$8,0))</f>
        <v>Velocity (1-50)</v>
      </c>
      <c r="I23" s="7" t="str">
        <f aca="false">INDEX(Seg_Map!$C$4:$C$8,MATCH($B23,Seg_Map!$A$4:$A$8,0))</f>
        <v>Velocity</v>
      </c>
      <c r="J23" s="7" t="str">
        <f aca="false">INDEX(Seg_Map!$D$4:$D$8,MATCH($B23,Seg_Map!$A$4:$A$8,0))</f>
        <v>SMB (1-100)</v>
      </c>
      <c r="K23" s="7" t="str">
        <f aca="false">INDEX(Seg_Map!$E$4:$E$8,MATCH($B23,Seg_Map!$A$4:$A$8,0))</f>
        <v>SMB (1-50)</v>
      </c>
      <c r="L23" s="6" t="n">
        <f aca="false">IF(AND($A23&gt;=Inputs!$C$5,$A23&lt;=Inputs!$C$6),1,0)</f>
        <v>0</v>
      </c>
      <c r="M23" s="6" t="n">
        <f aca="false">IF($A23=Inputs!$C$7,1,0)</f>
        <v>0</v>
      </c>
      <c r="N23" s="6" t="n">
        <f aca="false">IF(AND($A23&gt;=Inputs!$C$8,$A23&lt;=Inputs!$C$9),1,0)</f>
        <v>1</v>
      </c>
      <c r="O23" s="6" t="n">
        <f aca="false">IF(AND($A23&gt;=Inputs!$C$10,$A23&lt;=Inputs!$C$11),1,0)</f>
        <v>0</v>
      </c>
      <c r="P23" s="6" t="n">
        <f aca="false">IF(AND($A23&gt;=Inputs!$C$12,$A23&lt;=Inputs!$C$13),1,0)</f>
        <v>0</v>
      </c>
    </row>
    <row r="24" customFormat="false" ht="15" hidden="false" customHeight="false" outlineLevel="0" collapsed="false">
      <c r="A24" s="11" t="n">
        <v>44348</v>
      </c>
      <c r="B24" s="5" t="s">
        <v>160</v>
      </c>
      <c r="C24" s="13" t="n">
        <v>289</v>
      </c>
      <c r="D24" s="13" t="n">
        <v>107</v>
      </c>
      <c r="E24" s="13" t="n">
        <v>84</v>
      </c>
      <c r="F24" s="13" t="n">
        <v>29</v>
      </c>
      <c r="G24" s="20" t="n">
        <v>261815</v>
      </c>
      <c r="H24" s="7" t="str">
        <f aca="false">INDEX(Seg_Map!$B$4:$B$8,MATCH($B24,Seg_Map!$A$4:$A$8,0))</f>
        <v>Emerging MM (51-100)</v>
      </c>
      <c r="I24" s="7" t="str">
        <f aca="false">INDEX(Seg_Map!$C$4:$C$8,MATCH($B24,Seg_Map!$A$4:$A$8,0))</f>
        <v>Mid-Market</v>
      </c>
      <c r="J24" s="7" t="str">
        <f aca="false">INDEX(Seg_Map!$D$4:$D$8,MATCH($B24,Seg_Map!$A$4:$A$8,0))</f>
        <v>SMB (1-100)</v>
      </c>
      <c r="K24" s="7" t="str">
        <f aca="false">INDEX(Seg_Map!$E$4:$E$8,MATCH($B24,Seg_Map!$A$4:$A$8,0))</f>
        <v>MM (51-500)</v>
      </c>
      <c r="L24" s="6" t="n">
        <f aca="false">IF(AND($A24&gt;=Inputs!$C$5,$A24&lt;=Inputs!$C$6),1,0)</f>
        <v>0</v>
      </c>
      <c r="M24" s="6" t="n">
        <f aca="false">IF($A24=Inputs!$C$7,1,0)</f>
        <v>0</v>
      </c>
      <c r="N24" s="6" t="n">
        <f aca="false">IF(AND($A24&gt;=Inputs!$C$8,$A24&lt;=Inputs!$C$9),1,0)</f>
        <v>1</v>
      </c>
      <c r="O24" s="6" t="n">
        <f aca="false">IF(AND($A24&gt;=Inputs!$C$10,$A24&lt;=Inputs!$C$11),1,0)</f>
        <v>0</v>
      </c>
      <c r="P24" s="6" t="n">
        <f aca="false">IF(AND($A24&gt;=Inputs!$C$12,$A24&lt;=Inputs!$C$13),1,0)</f>
        <v>0</v>
      </c>
    </row>
    <row r="25" customFormat="false" ht="15" hidden="false" customHeight="false" outlineLevel="0" collapsed="false">
      <c r="A25" s="11" t="n">
        <v>44348</v>
      </c>
      <c r="B25" s="5" t="s">
        <v>161</v>
      </c>
      <c r="C25" s="13" t="n">
        <v>563</v>
      </c>
      <c r="D25" s="13" t="n">
        <v>141</v>
      </c>
      <c r="E25" s="13" t="n">
        <v>100</v>
      </c>
      <c r="F25" s="13" t="n">
        <v>25</v>
      </c>
      <c r="G25" s="20" t="n">
        <v>302482</v>
      </c>
      <c r="H25" s="7" t="str">
        <f aca="false">INDEX(Seg_Map!$B$4:$B$8,MATCH($B25,Seg_Map!$A$4:$A$8,0))</f>
        <v>Core MM (101-500)</v>
      </c>
      <c r="I25" s="7" t="str">
        <f aca="false">INDEX(Seg_Map!$C$4:$C$8,MATCH($B25,Seg_Map!$A$4:$A$8,0))</f>
        <v>Mid-Market</v>
      </c>
      <c r="J25" s="7" t="str">
        <f aca="false">INDEX(Seg_Map!$D$4:$D$8,MATCH($B25,Seg_Map!$A$4:$A$8,0))</f>
        <v>MM (101-500)</v>
      </c>
      <c r="K25" s="7" t="str">
        <f aca="false">INDEX(Seg_Map!$E$4:$E$8,MATCH($B25,Seg_Map!$A$4:$A$8,0))</f>
        <v>MM (51-500)</v>
      </c>
      <c r="L25" s="6" t="n">
        <f aca="false">IF(AND($A25&gt;=Inputs!$C$5,$A25&lt;=Inputs!$C$6),1,0)</f>
        <v>0</v>
      </c>
      <c r="M25" s="6" t="n">
        <f aca="false">IF($A25=Inputs!$C$7,1,0)</f>
        <v>0</v>
      </c>
      <c r="N25" s="6" t="n">
        <f aca="false">IF(AND($A25&gt;=Inputs!$C$8,$A25&lt;=Inputs!$C$9),1,0)</f>
        <v>1</v>
      </c>
      <c r="O25" s="6" t="n">
        <f aca="false">IF(AND($A25&gt;=Inputs!$C$10,$A25&lt;=Inputs!$C$11),1,0)</f>
        <v>0</v>
      </c>
      <c r="P25" s="6" t="n">
        <f aca="false">IF(AND($A25&gt;=Inputs!$C$12,$A25&lt;=Inputs!$C$13),1,0)</f>
        <v>0</v>
      </c>
    </row>
    <row r="26" customFormat="false" ht="15" hidden="false" customHeight="false" outlineLevel="0" collapsed="false">
      <c r="A26" s="11" t="n">
        <v>44348</v>
      </c>
      <c r="B26" s="5" t="s">
        <v>162</v>
      </c>
      <c r="C26" s="13" t="n">
        <v>274</v>
      </c>
      <c r="D26" s="13" t="n">
        <v>58</v>
      </c>
      <c r="E26" s="13" t="n">
        <v>36</v>
      </c>
      <c r="F26" s="13" t="n">
        <v>8</v>
      </c>
      <c r="G26" s="20" t="n">
        <v>170291</v>
      </c>
      <c r="H26" s="7" t="str">
        <f aca="false">INDEX(Seg_Map!$B$4:$B$8,MATCH($B26,Seg_Map!$A$4:$A$8,0))</f>
        <v>Enterprise (501+)</v>
      </c>
      <c r="I26" s="7" t="str">
        <f aca="false">INDEX(Seg_Map!$C$4:$C$8,MATCH($B26,Seg_Map!$A$4:$A$8,0))</f>
        <v>Enterprise</v>
      </c>
      <c r="J26" s="7" t="str">
        <f aca="false">INDEX(Seg_Map!$D$4:$D$8,MATCH($B26,Seg_Map!$A$4:$A$8,0))</f>
        <v>ENT (501+)</v>
      </c>
      <c r="K26" s="7" t="str">
        <f aca="false">INDEX(Seg_Map!$E$4:$E$8,MATCH($B26,Seg_Map!$A$4:$A$8,0))</f>
        <v>ENT (501+)</v>
      </c>
      <c r="L26" s="6" t="n">
        <f aca="false">IF(AND($A26&gt;=Inputs!$C$5,$A26&lt;=Inputs!$C$6),1,0)</f>
        <v>0</v>
      </c>
      <c r="M26" s="6" t="n">
        <f aca="false">IF($A26=Inputs!$C$7,1,0)</f>
        <v>0</v>
      </c>
      <c r="N26" s="6" t="n">
        <f aca="false">IF(AND($A26&gt;=Inputs!$C$8,$A26&lt;=Inputs!$C$9),1,0)</f>
        <v>1</v>
      </c>
      <c r="O26" s="6" t="n">
        <f aca="false">IF(AND($A26&gt;=Inputs!$C$10,$A26&lt;=Inputs!$C$11),1,0)</f>
        <v>0</v>
      </c>
      <c r="P26" s="6" t="n">
        <f aca="false">IF(AND($A26&gt;=Inputs!$C$12,$A26&lt;=Inputs!$C$13),1,0)</f>
        <v>0</v>
      </c>
    </row>
    <row r="27" customFormat="false" ht="15" hidden="false" customHeight="false" outlineLevel="0" collapsed="false">
      <c r="A27" s="11" t="n">
        <v>44378</v>
      </c>
      <c r="B27" s="5" t="s">
        <v>158</v>
      </c>
      <c r="C27" s="13" t="n">
        <v>109</v>
      </c>
      <c r="D27" s="13" t="n">
        <v>39</v>
      </c>
      <c r="E27" s="13" t="n">
        <v>33</v>
      </c>
      <c r="F27" s="13" t="n">
        <v>12</v>
      </c>
      <c r="G27" s="20" t="n">
        <v>34722</v>
      </c>
      <c r="H27" s="7" t="str">
        <f aca="false">INDEX(Seg_Map!$B$4:$B$8,MATCH($B27,Seg_Map!$A$4:$A$8,0))</f>
        <v>Velocity (1-50)</v>
      </c>
      <c r="I27" s="7" t="str">
        <f aca="false">INDEX(Seg_Map!$C$4:$C$8,MATCH($B27,Seg_Map!$A$4:$A$8,0))</f>
        <v>Velocity</v>
      </c>
      <c r="J27" s="7" t="str">
        <f aca="false">INDEX(Seg_Map!$D$4:$D$8,MATCH($B27,Seg_Map!$A$4:$A$8,0))</f>
        <v>SMB (1-100)</v>
      </c>
      <c r="K27" s="7" t="str">
        <f aca="false">INDEX(Seg_Map!$E$4:$E$8,MATCH($B27,Seg_Map!$A$4:$A$8,0))</f>
        <v>SMB (1-50)</v>
      </c>
      <c r="L27" s="6" t="n">
        <f aca="false">IF(AND($A27&gt;=Inputs!$C$5,$A27&lt;=Inputs!$C$6),1,0)</f>
        <v>0</v>
      </c>
      <c r="M27" s="6" t="n">
        <f aca="false">IF($A27=Inputs!$C$7,1,0)</f>
        <v>0</v>
      </c>
      <c r="N27" s="6" t="n">
        <f aca="false">IF(AND($A27&gt;=Inputs!$C$8,$A27&lt;=Inputs!$C$9),1,0)</f>
        <v>1</v>
      </c>
      <c r="O27" s="6" t="n">
        <f aca="false">IF(AND($A27&gt;=Inputs!$C$10,$A27&lt;=Inputs!$C$11),1,0)</f>
        <v>0</v>
      </c>
      <c r="P27" s="6" t="n">
        <f aca="false">IF(AND($A27&gt;=Inputs!$C$12,$A27&lt;=Inputs!$C$13),1,0)</f>
        <v>0</v>
      </c>
    </row>
    <row r="28" customFormat="false" ht="15" hidden="false" customHeight="false" outlineLevel="0" collapsed="false">
      <c r="A28" s="11" t="n">
        <v>44378</v>
      </c>
      <c r="B28" s="5" t="s">
        <v>159</v>
      </c>
      <c r="C28" s="13" t="n">
        <v>250</v>
      </c>
      <c r="D28" s="13" t="n">
        <v>90</v>
      </c>
      <c r="E28" s="13" t="n">
        <v>71</v>
      </c>
      <c r="F28" s="13" t="n">
        <v>26</v>
      </c>
      <c r="G28" s="20" t="n">
        <v>104469</v>
      </c>
      <c r="H28" s="7" t="str">
        <f aca="false">INDEX(Seg_Map!$B$4:$B$8,MATCH($B28,Seg_Map!$A$4:$A$8,0))</f>
        <v>Velocity (1-50)</v>
      </c>
      <c r="I28" s="7" t="str">
        <f aca="false">INDEX(Seg_Map!$C$4:$C$8,MATCH($B28,Seg_Map!$A$4:$A$8,0))</f>
        <v>Velocity</v>
      </c>
      <c r="J28" s="7" t="str">
        <f aca="false">INDEX(Seg_Map!$D$4:$D$8,MATCH($B28,Seg_Map!$A$4:$A$8,0))</f>
        <v>SMB (1-100)</v>
      </c>
      <c r="K28" s="7" t="str">
        <f aca="false">INDEX(Seg_Map!$E$4:$E$8,MATCH($B28,Seg_Map!$A$4:$A$8,0))</f>
        <v>SMB (1-50)</v>
      </c>
      <c r="L28" s="6" t="n">
        <f aca="false">IF(AND($A28&gt;=Inputs!$C$5,$A28&lt;=Inputs!$C$6),1,0)</f>
        <v>0</v>
      </c>
      <c r="M28" s="6" t="n">
        <f aca="false">IF($A28=Inputs!$C$7,1,0)</f>
        <v>0</v>
      </c>
      <c r="N28" s="6" t="n">
        <f aca="false">IF(AND($A28&gt;=Inputs!$C$8,$A28&lt;=Inputs!$C$9),1,0)</f>
        <v>1</v>
      </c>
      <c r="O28" s="6" t="n">
        <f aca="false">IF(AND($A28&gt;=Inputs!$C$10,$A28&lt;=Inputs!$C$11),1,0)</f>
        <v>0</v>
      </c>
      <c r="P28" s="6" t="n">
        <f aca="false">IF(AND($A28&gt;=Inputs!$C$12,$A28&lt;=Inputs!$C$13),1,0)</f>
        <v>0</v>
      </c>
    </row>
    <row r="29" customFormat="false" ht="15" hidden="false" customHeight="false" outlineLevel="0" collapsed="false">
      <c r="A29" s="11" t="n">
        <v>44378</v>
      </c>
      <c r="B29" s="5" t="s">
        <v>160</v>
      </c>
      <c r="C29" s="13" t="n">
        <v>312</v>
      </c>
      <c r="D29" s="13" t="n">
        <v>115</v>
      </c>
      <c r="E29" s="13" t="n">
        <v>91</v>
      </c>
      <c r="F29" s="13" t="n">
        <v>34</v>
      </c>
      <c r="G29" s="20" t="n">
        <v>310572</v>
      </c>
      <c r="H29" s="7" t="str">
        <f aca="false">INDEX(Seg_Map!$B$4:$B$8,MATCH($B29,Seg_Map!$A$4:$A$8,0))</f>
        <v>Emerging MM (51-100)</v>
      </c>
      <c r="I29" s="7" t="str">
        <f aca="false">INDEX(Seg_Map!$C$4:$C$8,MATCH($B29,Seg_Map!$A$4:$A$8,0))</f>
        <v>Mid-Market</v>
      </c>
      <c r="J29" s="7" t="str">
        <f aca="false">INDEX(Seg_Map!$D$4:$D$8,MATCH($B29,Seg_Map!$A$4:$A$8,0))</f>
        <v>SMB (1-100)</v>
      </c>
      <c r="K29" s="7" t="str">
        <f aca="false">INDEX(Seg_Map!$E$4:$E$8,MATCH($B29,Seg_Map!$A$4:$A$8,0))</f>
        <v>MM (51-500)</v>
      </c>
      <c r="L29" s="6" t="n">
        <f aca="false">IF(AND($A29&gt;=Inputs!$C$5,$A29&lt;=Inputs!$C$6),1,0)</f>
        <v>0</v>
      </c>
      <c r="M29" s="6" t="n">
        <f aca="false">IF($A29=Inputs!$C$7,1,0)</f>
        <v>0</v>
      </c>
      <c r="N29" s="6" t="n">
        <f aca="false">IF(AND($A29&gt;=Inputs!$C$8,$A29&lt;=Inputs!$C$9),1,0)</f>
        <v>1</v>
      </c>
      <c r="O29" s="6" t="n">
        <f aca="false">IF(AND($A29&gt;=Inputs!$C$10,$A29&lt;=Inputs!$C$11),1,0)</f>
        <v>0</v>
      </c>
      <c r="P29" s="6" t="n">
        <f aca="false">IF(AND($A29&gt;=Inputs!$C$12,$A29&lt;=Inputs!$C$13),1,0)</f>
        <v>0</v>
      </c>
    </row>
    <row r="30" customFormat="false" ht="15" hidden="false" customHeight="false" outlineLevel="0" collapsed="false">
      <c r="A30" s="11" t="n">
        <v>44378</v>
      </c>
      <c r="B30" s="5" t="s">
        <v>161</v>
      </c>
      <c r="C30" s="13" t="n">
        <v>624</v>
      </c>
      <c r="D30" s="13" t="n">
        <v>156</v>
      </c>
      <c r="E30" s="13" t="n">
        <v>111</v>
      </c>
      <c r="F30" s="13" t="n">
        <v>28</v>
      </c>
      <c r="G30" s="20" t="n">
        <v>329705</v>
      </c>
      <c r="H30" s="7" t="str">
        <f aca="false">INDEX(Seg_Map!$B$4:$B$8,MATCH($B30,Seg_Map!$A$4:$A$8,0))</f>
        <v>Core MM (101-500)</v>
      </c>
      <c r="I30" s="7" t="str">
        <f aca="false">INDEX(Seg_Map!$C$4:$C$8,MATCH($B30,Seg_Map!$A$4:$A$8,0))</f>
        <v>Mid-Market</v>
      </c>
      <c r="J30" s="7" t="str">
        <f aca="false">INDEX(Seg_Map!$D$4:$D$8,MATCH($B30,Seg_Map!$A$4:$A$8,0))</f>
        <v>MM (101-500)</v>
      </c>
      <c r="K30" s="7" t="str">
        <f aca="false">INDEX(Seg_Map!$E$4:$E$8,MATCH($B30,Seg_Map!$A$4:$A$8,0))</f>
        <v>MM (51-500)</v>
      </c>
      <c r="L30" s="6" t="n">
        <f aca="false">IF(AND($A30&gt;=Inputs!$C$5,$A30&lt;=Inputs!$C$6),1,0)</f>
        <v>0</v>
      </c>
      <c r="M30" s="6" t="n">
        <f aca="false">IF($A30=Inputs!$C$7,1,0)</f>
        <v>0</v>
      </c>
      <c r="N30" s="6" t="n">
        <f aca="false">IF(AND($A30&gt;=Inputs!$C$8,$A30&lt;=Inputs!$C$9),1,0)</f>
        <v>1</v>
      </c>
      <c r="O30" s="6" t="n">
        <f aca="false">IF(AND($A30&gt;=Inputs!$C$10,$A30&lt;=Inputs!$C$11),1,0)</f>
        <v>0</v>
      </c>
      <c r="P30" s="6" t="n">
        <f aca="false">IF(AND($A30&gt;=Inputs!$C$12,$A30&lt;=Inputs!$C$13),1,0)</f>
        <v>0</v>
      </c>
    </row>
    <row r="31" customFormat="false" ht="15" hidden="false" customHeight="false" outlineLevel="0" collapsed="false">
      <c r="A31" s="11" t="n">
        <v>44378</v>
      </c>
      <c r="B31" s="5" t="s">
        <v>162</v>
      </c>
      <c r="C31" s="13" t="n">
        <v>265</v>
      </c>
      <c r="D31" s="13" t="n">
        <v>50</v>
      </c>
      <c r="E31" s="13" t="n">
        <v>33</v>
      </c>
      <c r="F31" s="13" t="n">
        <v>7</v>
      </c>
      <c r="G31" s="20" t="n">
        <v>152202</v>
      </c>
      <c r="H31" s="7" t="str">
        <f aca="false">INDEX(Seg_Map!$B$4:$B$8,MATCH($B31,Seg_Map!$A$4:$A$8,0))</f>
        <v>Enterprise (501+)</v>
      </c>
      <c r="I31" s="7" t="str">
        <f aca="false">INDEX(Seg_Map!$C$4:$C$8,MATCH($B31,Seg_Map!$A$4:$A$8,0))</f>
        <v>Enterprise</v>
      </c>
      <c r="J31" s="7" t="str">
        <f aca="false">INDEX(Seg_Map!$D$4:$D$8,MATCH($B31,Seg_Map!$A$4:$A$8,0))</f>
        <v>ENT (501+)</v>
      </c>
      <c r="K31" s="7" t="str">
        <f aca="false">INDEX(Seg_Map!$E$4:$E$8,MATCH($B31,Seg_Map!$A$4:$A$8,0))</f>
        <v>ENT (501+)</v>
      </c>
      <c r="L31" s="6" t="n">
        <f aca="false">IF(AND($A31&gt;=Inputs!$C$5,$A31&lt;=Inputs!$C$6),1,0)</f>
        <v>0</v>
      </c>
      <c r="M31" s="6" t="n">
        <f aca="false">IF($A31=Inputs!$C$7,1,0)</f>
        <v>0</v>
      </c>
      <c r="N31" s="6" t="n">
        <f aca="false">IF(AND($A31&gt;=Inputs!$C$8,$A31&lt;=Inputs!$C$9),1,0)</f>
        <v>1</v>
      </c>
      <c r="O31" s="6" t="n">
        <f aca="false">IF(AND($A31&gt;=Inputs!$C$10,$A31&lt;=Inputs!$C$11),1,0)</f>
        <v>0</v>
      </c>
      <c r="P31" s="6" t="n">
        <f aca="false">IF(AND($A31&gt;=Inputs!$C$12,$A31&lt;=Inputs!$C$13),1,0)</f>
        <v>0</v>
      </c>
    </row>
    <row r="32" customFormat="false" ht="15" hidden="false" customHeight="false" outlineLevel="0" collapsed="false">
      <c r="A32" s="11" t="n">
        <v>44409</v>
      </c>
      <c r="B32" s="5" t="s">
        <v>158</v>
      </c>
      <c r="C32" s="13" t="n">
        <v>80</v>
      </c>
      <c r="D32" s="13" t="n">
        <v>26</v>
      </c>
      <c r="E32" s="13" t="n">
        <v>21</v>
      </c>
      <c r="F32" s="13" t="n">
        <v>7</v>
      </c>
      <c r="G32" s="20" t="n">
        <v>20376</v>
      </c>
      <c r="H32" s="7" t="str">
        <f aca="false">INDEX(Seg_Map!$B$4:$B$8,MATCH($B32,Seg_Map!$A$4:$A$8,0))</f>
        <v>Velocity (1-50)</v>
      </c>
      <c r="I32" s="7" t="str">
        <f aca="false">INDEX(Seg_Map!$C$4:$C$8,MATCH($B32,Seg_Map!$A$4:$A$8,0))</f>
        <v>Velocity</v>
      </c>
      <c r="J32" s="7" t="str">
        <f aca="false">INDEX(Seg_Map!$D$4:$D$8,MATCH($B32,Seg_Map!$A$4:$A$8,0))</f>
        <v>SMB (1-100)</v>
      </c>
      <c r="K32" s="7" t="str">
        <f aca="false">INDEX(Seg_Map!$E$4:$E$8,MATCH($B32,Seg_Map!$A$4:$A$8,0))</f>
        <v>SMB (1-50)</v>
      </c>
      <c r="L32" s="6" t="n">
        <f aca="false">IF(AND($A32&gt;=Inputs!$C$5,$A32&lt;=Inputs!$C$6),1,0)</f>
        <v>1</v>
      </c>
      <c r="M32" s="6" t="n">
        <f aca="false">IF($A32=Inputs!$C$7,1,0)</f>
        <v>0</v>
      </c>
      <c r="N32" s="6" t="n">
        <f aca="false">IF(AND($A32&gt;=Inputs!$C$8,$A32&lt;=Inputs!$C$9),1,0)</f>
        <v>0</v>
      </c>
      <c r="O32" s="6" t="n">
        <f aca="false">IF(AND($A32&gt;=Inputs!$C$10,$A32&lt;=Inputs!$C$11),1,0)</f>
        <v>0</v>
      </c>
      <c r="P32" s="6" t="n">
        <f aca="false">IF(AND($A32&gt;=Inputs!$C$12,$A32&lt;=Inputs!$C$13),1,0)</f>
        <v>0</v>
      </c>
    </row>
    <row r="33" customFormat="false" ht="15" hidden="false" customHeight="false" outlineLevel="0" collapsed="false">
      <c r="A33" s="11" t="n">
        <v>44409</v>
      </c>
      <c r="B33" s="5" t="s">
        <v>159</v>
      </c>
      <c r="C33" s="13" t="n">
        <v>273</v>
      </c>
      <c r="D33" s="13" t="n">
        <v>98</v>
      </c>
      <c r="E33" s="13" t="n">
        <v>78</v>
      </c>
      <c r="F33" s="13" t="n">
        <v>26</v>
      </c>
      <c r="G33" s="20" t="n">
        <v>108500</v>
      </c>
      <c r="H33" s="7" t="str">
        <f aca="false">INDEX(Seg_Map!$B$4:$B$8,MATCH($B33,Seg_Map!$A$4:$A$8,0))</f>
        <v>Velocity (1-50)</v>
      </c>
      <c r="I33" s="7" t="str">
        <f aca="false">INDEX(Seg_Map!$C$4:$C$8,MATCH($B33,Seg_Map!$A$4:$A$8,0))</f>
        <v>Velocity</v>
      </c>
      <c r="J33" s="7" t="str">
        <f aca="false">INDEX(Seg_Map!$D$4:$D$8,MATCH($B33,Seg_Map!$A$4:$A$8,0))</f>
        <v>SMB (1-100)</v>
      </c>
      <c r="K33" s="7" t="str">
        <f aca="false">INDEX(Seg_Map!$E$4:$E$8,MATCH($B33,Seg_Map!$A$4:$A$8,0))</f>
        <v>SMB (1-50)</v>
      </c>
      <c r="L33" s="6" t="n">
        <f aca="false">IF(AND($A33&gt;=Inputs!$C$5,$A33&lt;=Inputs!$C$6),1,0)</f>
        <v>1</v>
      </c>
      <c r="M33" s="6" t="n">
        <f aca="false">IF($A33=Inputs!$C$7,1,0)</f>
        <v>0</v>
      </c>
      <c r="N33" s="6" t="n">
        <f aca="false">IF(AND($A33&gt;=Inputs!$C$8,$A33&lt;=Inputs!$C$9),1,0)</f>
        <v>0</v>
      </c>
      <c r="O33" s="6" t="n">
        <f aca="false">IF(AND($A33&gt;=Inputs!$C$10,$A33&lt;=Inputs!$C$11),1,0)</f>
        <v>0</v>
      </c>
      <c r="P33" s="6" t="n">
        <f aca="false">IF(AND($A33&gt;=Inputs!$C$12,$A33&lt;=Inputs!$C$13),1,0)</f>
        <v>0</v>
      </c>
    </row>
    <row r="34" customFormat="false" ht="15" hidden="false" customHeight="false" outlineLevel="0" collapsed="false">
      <c r="A34" s="11" t="n">
        <v>44409</v>
      </c>
      <c r="B34" s="5" t="s">
        <v>160</v>
      </c>
      <c r="C34" s="13" t="n">
        <v>305</v>
      </c>
      <c r="D34" s="13" t="n">
        <v>107</v>
      </c>
      <c r="E34" s="13" t="n">
        <v>84</v>
      </c>
      <c r="F34" s="13" t="n">
        <v>29</v>
      </c>
      <c r="G34" s="20" t="n">
        <v>280126</v>
      </c>
      <c r="H34" s="7" t="str">
        <f aca="false">INDEX(Seg_Map!$B$4:$B$8,MATCH($B34,Seg_Map!$A$4:$A$8,0))</f>
        <v>Emerging MM (51-100)</v>
      </c>
      <c r="I34" s="7" t="str">
        <f aca="false">INDEX(Seg_Map!$C$4:$C$8,MATCH($B34,Seg_Map!$A$4:$A$8,0))</f>
        <v>Mid-Market</v>
      </c>
      <c r="J34" s="7" t="str">
        <f aca="false">INDEX(Seg_Map!$D$4:$D$8,MATCH($B34,Seg_Map!$A$4:$A$8,0))</f>
        <v>SMB (1-100)</v>
      </c>
      <c r="K34" s="7" t="str">
        <f aca="false">INDEX(Seg_Map!$E$4:$E$8,MATCH($B34,Seg_Map!$A$4:$A$8,0))</f>
        <v>MM (51-500)</v>
      </c>
      <c r="L34" s="6" t="n">
        <f aca="false">IF(AND($A34&gt;=Inputs!$C$5,$A34&lt;=Inputs!$C$6),1,0)</f>
        <v>1</v>
      </c>
      <c r="M34" s="6" t="n">
        <f aca="false">IF($A34=Inputs!$C$7,1,0)</f>
        <v>0</v>
      </c>
      <c r="N34" s="6" t="n">
        <f aca="false">IF(AND($A34&gt;=Inputs!$C$8,$A34&lt;=Inputs!$C$9),1,0)</f>
        <v>0</v>
      </c>
      <c r="O34" s="6" t="n">
        <f aca="false">IF(AND($A34&gt;=Inputs!$C$10,$A34&lt;=Inputs!$C$11),1,0)</f>
        <v>0</v>
      </c>
      <c r="P34" s="6" t="n">
        <f aca="false">IF(AND($A34&gt;=Inputs!$C$12,$A34&lt;=Inputs!$C$13),1,0)</f>
        <v>0</v>
      </c>
    </row>
    <row r="35" customFormat="false" ht="15" hidden="false" customHeight="false" outlineLevel="0" collapsed="false">
      <c r="A35" s="11" t="n">
        <v>44409</v>
      </c>
      <c r="B35" s="5" t="s">
        <v>161</v>
      </c>
      <c r="C35" s="13" t="n">
        <v>658</v>
      </c>
      <c r="D35" s="13" t="n">
        <v>171</v>
      </c>
      <c r="E35" s="13" t="n">
        <v>121</v>
      </c>
      <c r="F35" s="13" t="n">
        <v>32</v>
      </c>
      <c r="G35" s="20" t="n">
        <v>396697</v>
      </c>
      <c r="H35" s="7" t="str">
        <f aca="false">INDEX(Seg_Map!$B$4:$B$8,MATCH($B35,Seg_Map!$A$4:$A$8,0))</f>
        <v>Core MM (101-500)</v>
      </c>
      <c r="I35" s="7" t="str">
        <f aca="false">INDEX(Seg_Map!$C$4:$C$8,MATCH($B35,Seg_Map!$A$4:$A$8,0))</f>
        <v>Mid-Market</v>
      </c>
      <c r="J35" s="7" t="str">
        <f aca="false">INDEX(Seg_Map!$D$4:$D$8,MATCH($B35,Seg_Map!$A$4:$A$8,0))</f>
        <v>MM (101-500)</v>
      </c>
      <c r="K35" s="7" t="str">
        <f aca="false">INDEX(Seg_Map!$E$4:$E$8,MATCH($B35,Seg_Map!$A$4:$A$8,0))</f>
        <v>MM (51-500)</v>
      </c>
      <c r="L35" s="6" t="n">
        <f aca="false">IF(AND($A35&gt;=Inputs!$C$5,$A35&lt;=Inputs!$C$6),1,0)</f>
        <v>1</v>
      </c>
      <c r="M35" s="6" t="n">
        <f aca="false">IF($A35=Inputs!$C$7,1,0)</f>
        <v>0</v>
      </c>
      <c r="N35" s="6" t="n">
        <f aca="false">IF(AND($A35&gt;=Inputs!$C$8,$A35&lt;=Inputs!$C$9),1,0)</f>
        <v>0</v>
      </c>
      <c r="O35" s="6" t="n">
        <f aca="false">IF(AND($A35&gt;=Inputs!$C$10,$A35&lt;=Inputs!$C$11),1,0)</f>
        <v>0</v>
      </c>
      <c r="P35" s="6" t="n">
        <f aca="false">IF(AND($A35&gt;=Inputs!$C$12,$A35&lt;=Inputs!$C$13),1,0)</f>
        <v>0</v>
      </c>
    </row>
    <row r="36" customFormat="false" ht="15" hidden="false" customHeight="false" outlineLevel="0" collapsed="false">
      <c r="A36" s="11" t="n">
        <v>44409</v>
      </c>
      <c r="B36" s="5" t="s">
        <v>162</v>
      </c>
      <c r="C36" s="13" t="n">
        <v>289</v>
      </c>
      <c r="D36" s="13" t="n">
        <v>52</v>
      </c>
      <c r="E36" s="13" t="n">
        <v>34</v>
      </c>
      <c r="F36" s="13" t="n">
        <v>6</v>
      </c>
      <c r="G36" s="20" t="n">
        <v>137742</v>
      </c>
      <c r="H36" s="7" t="str">
        <f aca="false">INDEX(Seg_Map!$B$4:$B$8,MATCH($B36,Seg_Map!$A$4:$A$8,0))</f>
        <v>Enterprise (501+)</v>
      </c>
      <c r="I36" s="7" t="str">
        <f aca="false">INDEX(Seg_Map!$C$4:$C$8,MATCH($B36,Seg_Map!$A$4:$A$8,0))</f>
        <v>Enterprise</v>
      </c>
      <c r="J36" s="7" t="str">
        <f aca="false">INDEX(Seg_Map!$D$4:$D$8,MATCH($B36,Seg_Map!$A$4:$A$8,0))</f>
        <v>ENT (501+)</v>
      </c>
      <c r="K36" s="7" t="str">
        <f aca="false">INDEX(Seg_Map!$E$4:$E$8,MATCH($B36,Seg_Map!$A$4:$A$8,0))</f>
        <v>ENT (501+)</v>
      </c>
      <c r="L36" s="6" t="n">
        <f aca="false">IF(AND($A36&gt;=Inputs!$C$5,$A36&lt;=Inputs!$C$6),1,0)</f>
        <v>1</v>
      </c>
      <c r="M36" s="6" t="n">
        <f aca="false">IF($A36=Inputs!$C$7,1,0)</f>
        <v>0</v>
      </c>
      <c r="N36" s="6" t="n">
        <f aca="false">IF(AND($A36&gt;=Inputs!$C$8,$A36&lt;=Inputs!$C$9),1,0)</f>
        <v>0</v>
      </c>
      <c r="O36" s="6" t="n">
        <f aca="false">IF(AND($A36&gt;=Inputs!$C$10,$A36&lt;=Inputs!$C$11),1,0)</f>
        <v>0</v>
      </c>
      <c r="P36" s="6" t="n">
        <f aca="false">IF(AND($A36&gt;=Inputs!$C$12,$A36&lt;=Inputs!$C$13),1,0)</f>
        <v>0</v>
      </c>
    </row>
    <row r="37" customFormat="false" ht="15" hidden="false" customHeight="false" outlineLevel="0" collapsed="false">
      <c r="A37" s="11" t="n">
        <v>44440</v>
      </c>
      <c r="B37" s="5" t="s">
        <v>158</v>
      </c>
      <c r="C37" s="13" t="n">
        <v>99</v>
      </c>
      <c r="D37" s="13" t="n">
        <v>35</v>
      </c>
      <c r="E37" s="13" t="n">
        <v>27</v>
      </c>
      <c r="F37" s="13" t="n">
        <v>9</v>
      </c>
      <c r="G37" s="20" t="n">
        <v>26452</v>
      </c>
      <c r="H37" s="7" t="str">
        <f aca="false">INDEX(Seg_Map!$B$4:$B$8,MATCH($B37,Seg_Map!$A$4:$A$8,0))</f>
        <v>Velocity (1-50)</v>
      </c>
      <c r="I37" s="7" t="str">
        <f aca="false">INDEX(Seg_Map!$C$4:$C$8,MATCH($B37,Seg_Map!$A$4:$A$8,0))</f>
        <v>Velocity</v>
      </c>
      <c r="J37" s="7" t="str">
        <f aca="false">INDEX(Seg_Map!$D$4:$D$8,MATCH($B37,Seg_Map!$A$4:$A$8,0))</f>
        <v>SMB (1-100)</v>
      </c>
      <c r="K37" s="7" t="str">
        <f aca="false">INDEX(Seg_Map!$E$4:$E$8,MATCH($B37,Seg_Map!$A$4:$A$8,0))</f>
        <v>SMB (1-50)</v>
      </c>
      <c r="L37" s="6" t="n">
        <f aca="false">IF(AND($A37&gt;=Inputs!$C$5,$A37&lt;=Inputs!$C$6),1,0)</f>
        <v>1</v>
      </c>
      <c r="M37" s="6" t="n">
        <f aca="false">IF($A37=Inputs!$C$7,1,0)</f>
        <v>0</v>
      </c>
      <c r="N37" s="6" t="n">
        <f aca="false">IF(AND($A37&gt;=Inputs!$C$8,$A37&lt;=Inputs!$C$9),1,0)</f>
        <v>0</v>
      </c>
      <c r="O37" s="6" t="n">
        <f aca="false">IF(AND($A37&gt;=Inputs!$C$10,$A37&lt;=Inputs!$C$11),1,0)</f>
        <v>0</v>
      </c>
      <c r="P37" s="6" t="n">
        <f aca="false">IF(AND($A37&gt;=Inputs!$C$12,$A37&lt;=Inputs!$C$13),1,0)</f>
        <v>0</v>
      </c>
    </row>
    <row r="38" customFormat="false" ht="15" hidden="false" customHeight="false" outlineLevel="0" collapsed="false">
      <c r="A38" s="11" t="n">
        <v>44440</v>
      </c>
      <c r="B38" s="5" t="s">
        <v>159</v>
      </c>
      <c r="C38" s="13" t="n">
        <v>248</v>
      </c>
      <c r="D38" s="13" t="n">
        <v>92</v>
      </c>
      <c r="E38" s="13" t="n">
        <v>72</v>
      </c>
      <c r="F38" s="13" t="n">
        <v>23</v>
      </c>
      <c r="G38" s="20" t="n">
        <v>94464</v>
      </c>
      <c r="H38" s="7" t="str">
        <f aca="false">INDEX(Seg_Map!$B$4:$B$8,MATCH($B38,Seg_Map!$A$4:$A$8,0))</f>
        <v>Velocity (1-50)</v>
      </c>
      <c r="I38" s="7" t="str">
        <f aca="false">INDEX(Seg_Map!$C$4:$C$8,MATCH($B38,Seg_Map!$A$4:$A$8,0))</f>
        <v>Velocity</v>
      </c>
      <c r="J38" s="7" t="str">
        <f aca="false">INDEX(Seg_Map!$D$4:$D$8,MATCH($B38,Seg_Map!$A$4:$A$8,0))</f>
        <v>SMB (1-100)</v>
      </c>
      <c r="K38" s="7" t="str">
        <f aca="false">INDEX(Seg_Map!$E$4:$E$8,MATCH($B38,Seg_Map!$A$4:$A$8,0))</f>
        <v>SMB (1-50)</v>
      </c>
      <c r="L38" s="6" t="n">
        <f aca="false">IF(AND($A38&gt;=Inputs!$C$5,$A38&lt;=Inputs!$C$6),1,0)</f>
        <v>1</v>
      </c>
      <c r="M38" s="6" t="n">
        <f aca="false">IF($A38=Inputs!$C$7,1,0)</f>
        <v>0</v>
      </c>
      <c r="N38" s="6" t="n">
        <f aca="false">IF(AND($A38&gt;=Inputs!$C$8,$A38&lt;=Inputs!$C$9),1,0)</f>
        <v>0</v>
      </c>
      <c r="O38" s="6" t="n">
        <f aca="false">IF(AND($A38&gt;=Inputs!$C$10,$A38&lt;=Inputs!$C$11),1,0)</f>
        <v>0</v>
      </c>
      <c r="P38" s="6" t="n">
        <f aca="false">IF(AND($A38&gt;=Inputs!$C$12,$A38&lt;=Inputs!$C$13),1,0)</f>
        <v>0</v>
      </c>
    </row>
    <row r="39" customFormat="false" ht="15" hidden="false" customHeight="false" outlineLevel="0" collapsed="false">
      <c r="A39" s="11" t="n">
        <v>44440</v>
      </c>
      <c r="B39" s="5" t="s">
        <v>160</v>
      </c>
      <c r="C39" s="13" t="n">
        <v>281</v>
      </c>
      <c r="D39" s="13" t="n">
        <v>101</v>
      </c>
      <c r="E39" s="13" t="n">
        <v>80</v>
      </c>
      <c r="F39" s="13" t="n">
        <v>26</v>
      </c>
      <c r="G39" s="20" t="n">
        <v>237526</v>
      </c>
      <c r="H39" s="7" t="str">
        <f aca="false">INDEX(Seg_Map!$B$4:$B$8,MATCH($B39,Seg_Map!$A$4:$A$8,0))</f>
        <v>Emerging MM (51-100)</v>
      </c>
      <c r="I39" s="7" t="str">
        <f aca="false">INDEX(Seg_Map!$C$4:$C$8,MATCH($B39,Seg_Map!$A$4:$A$8,0))</f>
        <v>Mid-Market</v>
      </c>
      <c r="J39" s="7" t="str">
        <f aca="false">INDEX(Seg_Map!$D$4:$D$8,MATCH($B39,Seg_Map!$A$4:$A$8,0))</f>
        <v>SMB (1-100)</v>
      </c>
      <c r="K39" s="7" t="str">
        <f aca="false">INDEX(Seg_Map!$E$4:$E$8,MATCH($B39,Seg_Map!$A$4:$A$8,0))</f>
        <v>MM (51-500)</v>
      </c>
      <c r="L39" s="6" t="n">
        <f aca="false">IF(AND($A39&gt;=Inputs!$C$5,$A39&lt;=Inputs!$C$6),1,0)</f>
        <v>1</v>
      </c>
      <c r="M39" s="6" t="n">
        <f aca="false">IF($A39=Inputs!$C$7,1,0)</f>
        <v>0</v>
      </c>
      <c r="N39" s="6" t="n">
        <f aca="false">IF(AND($A39&gt;=Inputs!$C$8,$A39&lt;=Inputs!$C$9),1,0)</f>
        <v>0</v>
      </c>
      <c r="O39" s="6" t="n">
        <f aca="false">IF(AND($A39&gt;=Inputs!$C$10,$A39&lt;=Inputs!$C$11),1,0)</f>
        <v>0</v>
      </c>
      <c r="P39" s="6" t="n">
        <f aca="false">IF(AND($A39&gt;=Inputs!$C$12,$A39&lt;=Inputs!$C$13),1,0)</f>
        <v>0</v>
      </c>
    </row>
    <row r="40" customFormat="false" ht="15" hidden="false" customHeight="false" outlineLevel="0" collapsed="false">
      <c r="A40" s="11" t="n">
        <v>44440</v>
      </c>
      <c r="B40" s="5" t="s">
        <v>161</v>
      </c>
      <c r="C40" s="13" t="n">
        <v>677</v>
      </c>
      <c r="D40" s="13" t="n">
        <v>169</v>
      </c>
      <c r="E40" s="13" t="n">
        <v>118</v>
      </c>
      <c r="F40" s="13" t="n">
        <v>30</v>
      </c>
      <c r="G40" s="20" t="n">
        <v>387332</v>
      </c>
      <c r="H40" s="7" t="str">
        <f aca="false">INDEX(Seg_Map!$B$4:$B$8,MATCH($B40,Seg_Map!$A$4:$A$8,0))</f>
        <v>Core MM (101-500)</v>
      </c>
      <c r="I40" s="7" t="str">
        <f aca="false">INDEX(Seg_Map!$C$4:$C$8,MATCH($B40,Seg_Map!$A$4:$A$8,0))</f>
        <v>Mid-Market</v>
      </c>
      <c r="J40" s="7" t="str">
        <f aca="false">INDEX(Seg_Map!$D$4:$D$8,MATCH($B40,Seg_Map!$A$4:$A$8,0))</f>
        <v>MM (101-500)</v>
      </c>
      <c r="K40" s="7" t="str">
        <f aca="false">INDEX(Seg_Map!$E$4:$E$8,MATCH($B40,Seg_Map!$A$4:$A$8,0))</f>
        <v>MM (51-500)</v>
      </c>
      <c r="L40" s="6" t="n">
        <f aca="false">IF(AND($A40&gt;=Inputs!$C$5,$A40&lt;=Inputs!$C$6),1,0)</f>
        <v>1</v>
      </c>
      <c r="M40" s="6" t="n">
        <f aca="false">IF($A40=Inputs!$C$7,1,0)</f>
        <v>0</v>
      </c>
      <c r="N40" s="6" t="n">
        <f aca="false">IF(AND($A40&gt;=Inputs!$C$8,$A40&lt;=Inputs!$C$9),1,0)</f>
        <v>0</v>
      </c>
      <c r="O40" s="6" t="n">
        <f aca="false">IF(AND($A40&gt;=Inputs!$C$10,$A40&lt;=Inputs!$C$11),1,0)</f>
        <v>0</v>
      </c>
      <c r="P40" s="6" t="n">
        <f aca="false">IF(AND($A40&gt;=Inputs!$C$12,$A40&lt;=Inputs!$C$13),1,0)</f>
        <v>0</v>
      </c>
    </row>
    <row r="41" customFormat="false" ht="15" hidden="false" customHeight="false" outlineLevel="0" collapsed="false">
      <c r="A41" s="11" t="n">
        <v>44440</v>
      </c>
      <c r="B41" s="5" t="s">
        <v>162</v>
      </c>
      <c r="C41" s="13" t="n">
        <v>347</v>
      </c>
      <c r="D41" s="13" t="n">
        <v>69</v>
      </c>
      <c r="E41" s="13" t="n">
        <v>45</v>
      </c>
      <c r="F41" s="13" t="n">
        <v>9</v>
      </c>
      <c r="G41" s="20" t="n">
        <v>209057</v>
      </c>
      <c r="H41" s="7" t="str">
        <f aca="false">INDEX(Seg_Map!$B$4:$B$8,MATCH($B41,Seg_Map!$A$4:$A$8,0))</f>
        <v>Enterprise (501+)</v>
      </c>
      <c r="I41" s="7" t="str">
        <f aca="false">INDEX(Seg_Map!$C$4:$C$8,MATCH($B41,Seg_Map!$A$4:$A$8,0))</f>
        <v>Enterprise</v>
      </c>
      <c r="J41" s="7" t="str">
        <f aca="false">INDEX(Seg_Map!$D$4:$D$8,MATCH($B41,Seg_Map!$A$4:$A$8,0))</f>
        <v>ENT (501+)</v>
      </c>
      <c r="K41" s="7" t="str">
        <f aca="false">INDEX(Seg_Map!$E$4:$E$8,MATCH($B41,Seg_Map!$A$4:$A$8,0))</f>
        <v>ENT (501+)</v>
      </c>
      <c r="L41" s="6" t="n">
        <f aca="false">IF(AND($A41&gt;=Inputs!$C$5,$A41&lt;=Inputs!$C$6),1,0)</f>
        <v>1</v>
      </c>
      <c r="M41" s="6" t="n">
        <f aca="false">IF($A41=Inputs!$C$7,1,0)</f>
        <v>0</v>
      </c>
      <c r="N41" s="6" t="n">
        <f aca="false">IF(AND($A41&gt;=Inputs!$C$8,$A41&lt;=Inputs!$C$9),1,0)</f>
        <v>0</v>
      </c>
      <c r="O41" s="6" t="n">
        <f aca="false">IF(AND($A41&gt;=Inputs!$C$10,$A41&lt;=Inputs!$C$11),1,0)</f>
        <v>0</v>
      </c>
      <c r="P41" s="6" t="n">
        <f aca="false">IF(AND($A41&gt;=Inputs!$C$12,$A41&lt;=Inputs!$C$13),1,0)</f>
        <v>0</v>
      </c>
    </row>
    <row r="42" customFormat="false" ht="15" hidden="false" customHeight="false" outlineLevel="0" collapsed="false">
      <c r="A42" s="11" t="n">
        <v>44470</v>
      </c>
      <c r="B42" s="5" t="s">
        <v>158</v>
      </c>
      <c r="C42" s="13" t="n">
        <v>94</v>
      </c>
      <c r="D42" s="13" t="n">
        <v>35</v>
      </c>
      <c r="E42" s="13" t="n">
        <v>28</v>
      </c>
      <c r="F42" s="13" t="n">
        <v>10</v>
      </c>
      <c r="G42" s="20" t="n">
        <v>30476</v>
      </c>
      <c r="H42" s="7" t="str">
        <f aca="false">INDEX(Seg_Map!$B$4:$B$8,MATCH($B42,Seg_Map!$A$4:$A$8,0))</f>
        <v>Velocity (1-50)</v>
      </c>
      <c r="I42" s="7" t="str">
        <f aca="false">INDEX(Seg_Map!$C$4:$C$8,MATCH($B42,Seg_Map!$A$4:$A$8,0))</f>
        <v>Velocity</v>
      </c>
      <c r="J42" s="7" t="str">
        <f aca="false">INDEX(Seg_Map!$D$4:$D$8,MATCH($B42,Seg_Map!$A$4:$A$8,0))</f>
        <v>SMB (1-100)</v>
      </c>
      <c r="K42" s="7" t="str">
        <f aca="false">INDEX(Seg_Map!$E$4:$E$8,MATCH($B42,Seg_Map!$A$4:$A$8,0))</f>
        <v>SMB (1-50)</v>
      </c>
      <c r="L42" s="6" t="n">
        <f aca="false">IF(AND($A42&gt;=Inputs!$C$5,$A42&lt;=Inputs!$C$6),1,0)</f>
        <v>1</v>
      </c>
      <c r="M42" s="6" t="n">
        <f aca="false">IF($A42=Inputs!$C$7,1,0)</f>
        <v>0</v>
      </c>
      <c r="N42" s="6" t="n">
        <f aca="false">IF(AND($A42&gt;=Inputs!$C$8,$A42&lt;=Inputs!$C$9),1,0)</f>
        <v>0</v>
      </c>
      <c r="O42" s="6" t="n">
        <f aca="false">IF(AND($A42&gt;=Inputs!$C$10,$A42&lt;=Inputs!$C$11),1,0)</f>
        <v>0</v>
      </c>
      <c r="P42" s="6" t="n">
        <f aca="false">IF(AND($A42&gt;=Inputs!$C$12,$A42&lt;=Inputs!$C$13),1,0)</f>
        <v>0</v>
      </c>
    </row>
    <row r="43" customFormat="false" ht="15" hidden="false" customHeight="false" outlineLevel="0" collapsed="false">
      <c r="A43" s="11" t="n">
        <v>44470</v>
      </c>
      <c r="B43" s="5" t="s">
        <v>159</v>
      </c>
      <c r="C43" s="13" t="n">
        <v>263</v>
      </c>
      <c r="D43" s="13" t="n">
        <v>95</v>
      </c>
      <c r="E43" s="13" t="n">
        <v>77</v>
      </c>
      <c r="F43" s="13" t="n">
        <v>28</v>
      </c>
      <c r="G43" s="20" t="n">
        <v>109791</v>
      </c>
      <c r="H43" s="7" t="str">
        <f aca="false">INDEX(Seg_Map!$B$4:$B$8,MATCH($B43,Seg_Map!$A$4:$A$8,0))</f>
        <v>Velocity (1-50)</v>
      </c>
      <c r="I43" s="7" t="str">
        <f aca="false">INDEX(Seg_Map!$C$4:$C$8,MATCH($B43,Seg_Map!$A$4:$A$8,0))</f>
        <v>Velocity</v>
      </c>
      <c r="J43" s="7" t="str">
        <f aca="false">INDEX(Seg_Map!$D$4:$D$8,MATCH($B43,Seg_Map!$A$4:$A$8,0))</f>
        <v>SMB (1-100)</v>
      </c>
      <c r="K43" s="7" t="str">
        <f aca="false">INDEX(Seg_Map!$E$4:$E$8,MATCH($B43,Seg_Map!$A$4:$A$8,0))</f>
        <v>SMB (1-50)</v>
      </c>
      <c r="L43" s="6" t="n">
        <f aca="false">IF(AND($A43&gt;=Inputs!$C$5,$A43&lt;=Inputs!$C$6),1,0)</f>
        <v>1</v>
      </c>
      <c r="M43" s="6" t="n">
        <f aca="false">IF($A43=Inputs!$C$7,1,0)</f>
        <v>0</v>
      </c>
      <c r="N43" s="6" t="n">
        <f aca="false">IF(AND($A43&gt;=Inputs!$C$8,$A43&lt;=Inputs!$C$9),1,0)</f>
        <v>0</v>
      </c>
      <c r="O43" s="6" t="n">
        <f aca="false">IF(AND($A43&gt;=Inputs!$C$10,$A43&lt;=Inputs!$C$11),1,0)</f>
        <v>0</v>
      </c>
      <c r="P43" s="6" t="n">
        <f aca="false">IF(AND($A43&gt;=Inputs!$C$12,$A43&lt;=Inputs!$C$13),1,0)</f>
        <v>0</v>
      </c>
    </row>
    <row r="44" customFormat="false" ht="15" hidden="false" customHeight="false" outlineLevel="0" collapsed="false">
      <c r="A44" s="11" t="n">
        <v>44470</v>
      </c>
      <c r="B44" s="5" t="s">
        <v>160</v>
      </c>
      <c r="C44" s="13" t="n">
        <v>338</v>
      </c>
      <c r="D44" s="13" t="n">
        <v>118</v>
      </c>
      <c r="E44" s="13" t="n">
        <v>95</v>
      </c>
      <c r="F44" s="13" t="n">
        <v>33</v>
      </c>
      <c r="G44" s="20" t="n">
        <v>318256</v>
      </c>
      <c r="H44" s="7" t="str">
        <f aca="false">INDEX(Seg_Map!$B$4:$B$8,MATCH($B44,Seg_Map!$A$4:$A$8,0))</f>
        <v>Emerging MM (51-100)</v>
      </c>
      <c r="I44" s="7" t="str">
        <f aca="false">INDEX(Seg_Map!$C$4:$C$8,MATCH($B44,Seg_Map!$A$4:$A$8,0))</f>
        <v>Mid-Market</v>
      </c>
      <c r="J44" s="7" t="str">
        <f aca="false">INDEX(Seg_Map!$D$4:$D$8,MATCH($B44,Seg_Map!$A$4:$A$8,0))</f>
        <v>SMB (1-100)</v>
      </c>
      <c r="K44" s="7" t="str">
        <f aca="false">INDEX(Seg_Map!$E$4:$E$8,MATCH($B44,Seg_Map!$A$4:$A$8,0))</f>
        <v>MM (51-500)</v>
      </c>
      <c r="L44" s="6" t="n">
        <f aca="false">IF(AND($A44&gt;=Inputs!$C$5,$A44&lt;=Inputs!$C$6),1,0)</f>
        <v>1</v>
      </c>
      <c r="M44" s="6" t="n">
        <f aca="false">IF($A44=Inputs!$C$7,1,0)</f>
        <v>0</v>
      </c>
      <c r="N44" s="6" t="n">
        <f aca="false">IF(AND($A44&gt;=Inputs!$C$8,$A44&lt;=Inputs!$C$9),1,0)</f>
        <v>0</v>
      </c>
      <c r="O44" s="6" t="n">
        <f aca="false">IF(AND($A44&gt;=Inputs!$C$10,$A44&lt;=Inputs!$C$11),1,0)</f>
        <v>0</v>
      </c>
      <c r="P44" s="6" t="n">
        <f aca="false">IF(AND($A44&gt;=Inputs!$C$12,$A44&lt;=Inputs!$C$13),1,0)</f>
        <v>0</v>
      </c>
    </row>
    <row r="45" customFormat="false" ht="15" hidden="false" customHeight="false" outlineLevel="0" collapsed="false">
      <c r="A45" s="11" t="n">
        <v>44470</v>
      </c>
      <c r="B45" s="5" t="s">
        <v>161</v>
      </c>
      <c r="C45" s="13" t="n">
        <v>788</v>
      </c>
      <c r="D45" s="13" t="n">
        <v>205</v>
      </c>
      <c r="E45" s="13" t="n">
        <v>139</v>
      </c>
      <c r="F45" s="13" t="n">
        <v>36</v>
      </c>
      <c r="G45" s="20" t="n">
        <v>489690</v>
      </c>
      <c r="H45" s="7" t="str">
        <f aca="false">INDEX(Seg_Map!$B$4:$B$8,MATCH($B45,Seg_Map!$A$4:$A$8,0))</f>
        <v>Core MM (101-500)</v>
      </c>
      <c r="I45" s="7" t="str">
        <f aca="false">INDEX(Seg_Map!$C$4:$C$8,MATCH($B45,Seg_Map!$A$4:$A$8,0))</f>
        <v>Mid-Market</v>
      </c>
      <c r="J45" s="7" t="str">
        <f aca="false">INDEX(Seg_Map!$D$4:$D$8,MATCH($B45,Seg_Map!$A$4:$A$8,0))</f>
        <v>MM (101-500)</v>
      </c>
      <c r="K45" s="7" t="str">
        <f aca="false">INDEX(Seg_Map!$E$4:$E$8,MATCH($B45,Seg_Map!$A$4:$A$8,0))</f>
        <v>MM (51-500)</v>
      </c>
      <c r="L45" s="6" t="n">
        <f aca="false">IF(AND($A45&gt;=Inputs!$C$5,$A45&lt;=Inputs!$C$6),1,0)</f>
        <v>1</v>
      </c>
      <c r="M45" s="6" t="n">
        <f aca="false">IF($A45=Inputs!$C$7,1,0)</f>
        <v>0</v>
      </c>
      <c r="N45" s="6" t="n">
        <f aca="false">IF(AND($A45&gt;=Inputs!$C$8,$A45&lt;=Inputs!$C$9),1,0)</f>
        <v>0</v>
      </c>
      <c r="O45" s="6" t="n">
        <f aca="false">IF(AND($A45&gt;=Inputs!$C$10,$A45&lt;=Inputs!$C$11),1,0)</f>
        <v>0</v>
      </c>
      <c r="P45" s="6" t="n">
        <f aca="false">IF(AND($A45&gt;=Inputs!$C$12,$A45&lt;=Inputs!$C$13),1,0)</f>
        <v>0</v>
      </c>
    </row>
    <row r="46" customFormat="false" ht="15" hidden="false" customHeight="false" outlineLevel="0" collapsed="false">
      <c r="A46" s="11" t="n">
        <v>44470</v>
      </c>
      <c r="B46" s="5" t="s">
        <v>162</v>
      </c>
      <c r="C46" s="13" t="n">
        <v>394</v>
      </c>
      <c r="D46" s="13" t="n">
        <v>75</v>
      </c>
      <c r="E46" s="13" t="n">
        <v>50</v>
      </c>
      <c r="F46" s="13" t="n">
        <v>10</v>
      </c>
      <c r="G46" s="20" t="n">
        <v>231792</v>
      </c>
      <c r="H46" s="7" t="str">
        <f aca="false">INDEX(Seg_Map!$B$4:$B$8,MATCH($B46,Seg_Map!$A$4:$A$8,0))</f>
        <v>Enterprise (501+)</v>
      </c>
      <c r="I46" s="7" t="str">
        <f aca="false">INDEX(Seg_Map!$C$4:$C$8,MATCH($B46,Seg_Map!$A$4:$A$8,0))</f>
        <v>Enterprise</v>
      </c>
      <c r="J46" s="7" t="str">
        <f aca="false">INDEX(Seg_Map!$D$4:$D$8,MATCH($B46,Seg_Map!$A$4:$A$8,0))</f>
        <v>ENT (501+)</v>
      </c>
      <c r="K46" s="7" t="str">
        <f aca="false">INDEX(Seg_Map!$E$4:$E$8,MATCH($B46,Seg_Map!$A$4:$A$8,0))</f>
        <v>ENT (501+)</v>
      </c>
      <c r="L46" s="6" t="n">
        <f aca="false">IF(AND($A46&gt;=Inputs!$C$5,$A46&lt;=Inputs!$C$6),1,0)</f>
        <v>1</v>
      </c>
      <c r="M46" s="6" t="n">
        <f aca="false">IF($A46=Inputs!$C$7,1,0)</f>
        <v>0</v>
      </c>
      <c r="N46" s="6" t="n">
        <f aca="false">IF(AND($A46&gt;=Inputs!$C$8,$A46&lt;=Inputs!$C$9),1,0)</f>
        <v>0</v>
      </c>
      <c r="O46" s="6" t="n">
        <f aca="false">IF(AND($A46&gt;=Inputs!$C$10,$A46&lt;=Inputs!$C$11),1,0)</f>
        <v>0</v>
      </c>
      <c r="P46" s="6" t="n">
        <f aca="false">IF(AND($A46&gt;=Inputs!$C$12,$A46&lt;=Inputs!$C$13),1,0)</f>
        <v>0</v>
      </c>
    </row>
    <row r="47" customFormat="false" ht="15" hidden="false" customHeight="false" outlineLevel="0" collapsed="false">
      <c r="A47" s="11" t="n">
        <v>44501</v>
      </c>
      <c r="B47" s="5" t="s">
        <v>158</v>
      </c>
      <c r="C47" s="13" t="n">
        <v>60</v>
      </c>
      <c r="D47" s="13" t="n">
        <v>17</v>
      </c>
      <c r="E47" s="13" t="n">
        <v>14</v>
      </c>
      <c r="F47" s="13" t="n">
        <v>4</v>
      </c>
      <c r="G47" s="20" t="n">
        <v>12323</v>
      </c>
      <c r="H47" s="7" t="str">
        <f aca="false">INDEX(Seg_Map!$B$4:$B$8,MATCH($B47,Seg_Map!$A$4:$A$8,0))</f>
        <v>Velocity (1-50)</v>
      </c>
      <c r="I47" s="7" t="str">
        <f aca="false">INDEX(Seg_Map!$C$4:$C$8,MATCH($B47,Seg_Map!$A$4:$A$8,0))</f>
        <v>Velocity</v>
      </c>
      <c r="J47" s="7" t="str">
        <f aca="false">INDEX(Seg_Map!$D$4:$D$8,MATCH($B47,Seg_Map!$A$4:$A$8,0))</f>
        <v>SMB (1-100)</v>
      </c>
      <c r="K47" s="7" t="str">
        <f aca="false">INDEX(Seg_Map!$E$4:$E$8,MATCH($B47,Seg_Map!$A$4:$A$8,0))</f>
        <v>SMB (1-50)</v>
      </c>
      <c r="L47" s="6" t="n">
        <f aca="false">IF(AND($A47&gt;=Inputs!$C$5,$A47&lt;=Inputs!$C$6),1,0)</f>
        <v>0</v>
      </c>
      <c r="M47" s="6" t="n">
        <f aca="false">IF($A47=Inputs!$C$7,1,0)</f>
        <v>0</v>
      </c>
      <c r="N47" s="6" t="n">
        <f aca="false">IF(AND($A47&gt;=Inputs!$C$8,$A47&lt;=Inputs!$C$9),1,0)</f>
        <v>0</v>
      </c>
      <c r="O47" s="6" t="n">
        <f aca="false">IF(AND($A47&gt;=Inputs!$C$10,$A47&lt;=Inputs!$C$11),1,0)</f>
        <v>1</v>
      </c>
      <c r="P47" s="6" t="n">
        <f aca="false">IF(AND($A47&gt;=Inputs!$C$12,$A47&lt;=Inputs!$C$13),1,0)</f>
        <v>0</v>
      </c>
    </row>
    <row r="48" customFormat="false" ht="15" hidden="false" customHeight="false" outlineLevel="0" collapsed="false">
      <c r="A48" s="11" t="n">
        <v>44501</v>
      </c>
      <c r="B48" s="5" t="s">
        <v>159</v>
      </c>
      <c r="C48" s="13" t="n">
        <v>130</v>
      </c>
      <c r="D48" s="13" t="n">
        <v>38</v>
      </c>
      <c r="E48" s="13" t="n">
        <v>30</v>
      </c>
      <c r="F48" s="13" t="n">
        <v>9</v>
      </c>
      <c r="G48" s="20" t="n">
        <v>33995</v>
      </c>
      <c r="H48" s="7" t="str">
        <f aca="false">INDEX(Seg_Map!$B$4:$B$8,MATCH($B48,Seg_Map!$A$4:$A$8,0))</f>
        <v>Velocity (1-50)</v>
      </c>
      <c r="I48" s="7" t="str">
        <f aca="false">INDEX(Seg_Map!$C$4:$C$8,MATCH($B48,Seg_Map!$A$4:$A$8,0))</f>
        <v>Velocity</v>
      </c>
      <c r="J48" s="7" t="str">
        <f aca="false">INDEX(Seg_Map!$D$4:$D$8,MATCH($B48,Seg_Map!$A$4:$A$8,0))</f>
        <v>SMB (1-100)</v>
      </c>
      <c r="K48" s="7" t="str">
        <f aca="false">INDEX(Seg_Map!$E$4:$E$8,MATCH($B48,Seg_Map!$A$4:$A$8,0))</f>
        <v>SMB (1-50)</v>
      </c>
      <c r="L48" s="6" t="n">
        <f aca="false">IF(AND($A48&gt;=Inputs!$C$5,$A48&lt;=Inputs!$C$6),1,0)</f>
        <v>0</v>
      </c>
      <c r="M48" s="6" t="n">
        <f aca="false">IF($A48=Inputs!$C$7,1,0)</f>
        <v>0</v>
      </c>
      <c r="N48" s="6" t="n">
        <f aca="false">IF(AND($A48&gt;=Inputs!$C$8,$A48&lt;=Inputs!$C$9),1,0)</f>
        <v>0</v>
      </c>
      <c r="O48" s="6" t="n">
        <f aca="false">IF(AND($A48&gt;=Inputs!$C$10,$A48&lt;=Inputs!$C$11),1,0)</f>
        <v>1</v>
      </c>
      <c r="P48" s="6" t="n">
        <f aca="false">IF(AND($A48&gt;=Inputs!$C$12,$A48&lt;=Inputs!$C$13),1,0)</f>
        <v>0</v>
      </c>
    </row>
    <row r="49" customFormat="false" ht="15" hidden="false" customHeight="false" outlineLevel="0" collapsed="false">
      <c r="A49" s="11" t="n">
        <v>44501</v>
      </c>
      <c r="B49" s="5" t="s">
        <v>160</v>
      </c>
      <c r="C49" s="13" t="n">
        <v>180</v>
      </c>
      <c r="D49" s="13" t="n">
        <v>51</v>
      </c>
      <c r="E49" s="13" t="n">
        <v>41</v>
      </c>
      <c r="F49" s="13" t="n">
        <v>11</v>
      </c>
      <c r="G49" s="20" t="n">
        <v>109015</v>
      </c>
      <c r="H49" s="7" t="str">
        <f aca="false">INDEX(Seg_Map!$B$4:$B$8,MATCH($B49,Seg_Map!$A$4:$A$8,0))</f>
        <v>Emerging MM (51-100)</v>
      </c>
      <c r="I49" s="7" t="str">
        <f aca="false">INDEX(Seg_Map!$C$4:$C$8,MATCH($B49,Seg_Map!$A$4:$A$8,0))</f>
        <v>Mid-Market</v>
      </c>
      <c r="J49" s="7" t="str">
        <f aca="false">INDEX(Seg_Map!$D$4:$D$8,MATCH($B49,Seg_Map!$A$4:$A$8,0))</f>
        <v>SMB (1-100)</v>
      </c>
      <c r="K49" s="7" t="str">
        <f aca="false">INDEX(Seg_Map!$E$4:$E$8,MATCH($B49,Seg_Map!$A$4:$A$8,0))</f>
        <v>MM (51-500)</v>
      </c>
      <c r="L49" s="6" t="n">
        <f aca="false">IF(AND($A49&gt;=Inputs!$C$5,$A49&lt;=Inputs!$C$6),1,0)</f>
        <v>0</v>
      </c>
      <c r="M49" s="6" t="n">
        <f aca="false">IF($A49=Inputs!$C$7,1,0)</f>
        <v>0</v>
      </c>
      <c r="N49" s="6" t="n">
        <f aca="false">IF(AND($A49&gt;=Inputs!$C$8,$A49&lt;=Inputs!$C$9),1,0)</f>
        <v>0</v>
      </c>
      <c r="O49" s="6" t="n">
        <f aca="false">IF(AND($A49&gt;=Inputs!$C$10,$A49&lt;=Inputs!$C$11),1,0)</f>
        <v>1</v>
      </c>
      <c r="P49" s="6" t="n">
        <f aca="false">IF(AND($A49&gt;=Inputs!$C$12,$A49&lt;=Inputs!$C$13),1,0)</f>
        <v>0</v>
      </c>
    </row>
    <row r="50" customFormat="false" ht="15" hidden="false" customHeight="false" outlineLevel="0" collapsed="false">
      <c r="A50" s="11" t="n">
        <v>44501</v>
      </c>
      <c r="B50" s="5" t="s">
        <v>161</v>
      </c>
      <c r="C50" s="13" t="n">
        <v>401</v>
      </c>
      <c r="D50" s="13" t="n">
        <v>88</v>
      </c>
      <c r="E50" s="13" t="n">
        <v>60</v>
      </c>
      <c r="F50" s="13" t="n">
        <v>13</v>
      </c>
      <c r="G50" s="20" t="n">
        <v>184900</v>
      </c>
      <c r="H50" s="7" t="str">
        <f aca="false">INDEX(Seg_Map!$B$4:$B$8,MATCH($B50,Seg_Map!$A$4:$A$8,0))</f>
        <v>Core MM (101-500)</v>
      </c>
      <c r="I50" s="7" t="str">
        <f aca="false">INDEX(Seg_Map!$C$4:$C$8,MATCH($B50,Seg_Map!$A$4:$A$8,0))</f>
        <v>Mid-Market</v>
      </c>
      <c r="J50" s="7" t="str">
        <f aca="false">INDEX(Seg_Map!$D$4:$D$8,MATCH($B50,Seg_Map!$A$4:$A$8,0))</f>
        <v>MM (101-500)</v>
      </c>
      <c r="K50" s="7" t="str">
        <f aca="false">INDEX(Seg_Map!$E$4:$E$8,MATCH($B50,Seg_Map!$A$4:$A$8,0))</f>
        <v>MM (51-500)</v>
      </c>
      <c r="L50" s="6" t="n">
        <f aca="false">IF(AND($A50&gt;=Inputs!$C$5,$A50&lt;=Inputs!$C$6),1,0)</f>
        <v>0</v>
      </c>
      <c r="M50" s="6" t="n">
        <f aca="false">IF($A50=Inputs!$C$7,1,0)</f>
        <v>0</v>
      </c>
      <c r="N50" s="6" t="n">
        <f aca="false">IF(AND($A50&gt;=Inputs!$C$8,$A50&lt;=Inputs!$C$9),1,0)</f>
        <v>0</v>
      </c>
      <c r="O50" s="6" t="n">
        <f aca="false">IF(AND($A50&gt;=Inputs!$C$10,$A50&lt;=Inputs!$C$11),1,0)</f>
        <v>1</v>
      </c>
      <c r="P50" s="6" t="n">
        <f aca="false">IF(AND($A50&gt;=Inputs!$C$12,$A50&lt;=Inputs!$C$13),1,0)</f>
        <v>0</v>
      </c>
    </row>
    <row r="51" customFormat="false" ht="15" hidden="false" customHeight="false" outlineLevel="0" collapsed="false">
      <c r="A51" s="11" t="n">
        <v>44501</v>
      </c>
      <c r="B51" s="5" t="s">
        <v>162</v>
      </c>
      <c r="C51" s="13" t="n">
        <v>230</v>
      </c>
      <c r="D51" s="13" t="n">
        <v>35</v>
      </c>
      <c r="E51" s="13" t="n">
        <v>23</v>
      </c>
      <c r="F51" s="13" t="n">
        <v>4</v>
      </c>
      <c r="G51" s="20" t="n">
        <v>89558</v>
      </c>
      <c r="H51" s="7" t="str">
        <f aca="false">INDEX(Seg_Map!$B$4:$B$8,MATCH($B51,Seg_Map!$A$4:$A$8,0))</f>
        <v>Enterprise (501+)</v>
      </c>
      <c r="I51" s="7" t="str">
        <f aca="false">INDEX(Seg_Map!$C$4:$C$8,MATCH($B51,Seg_Map!$A$4:$A$8,0))</f>
        <v>Enterprise</v>
      </c>
      <c r="J51" s="7" t="str">
        <f aca="false">INDEX(Seg_Map!$D$4:$D$8,MATCH($B51,Seg_Map!$A$4:$A$8,0))</f>
        <v>ENT (501+)</v>
      </c>
      <c r="K51" s="7" t="str">
        <f aca="false">INDEX(Seg_Map!$E$4:$E$8,MATCH($B51,Seg_Map!$A$4:$A$8,0))</f>
        <v>ENT (501+)</v>
      </c>
      <c r="L51" s="6" t="n">
        <f aca="false">IF(AND($A51&gt;=Inputs!$C$5,$A51&lt;=Inputs!$C$6),1,0)</f>
        <v>0</v>
      </c>
      <c r="M51" s="6" t="n">
        <f aca="false">IF($A51=Inputs!$C$7,1,0)</f>
        <v>0</v>
      </c>
      <c r="N51" s="6" t="n">
        <f aca="false">IF(AND($A51&gt;=Inputs!$C$8,$A51&lt;=Inputs!$C$9),1,0)</f>
        <v>0</v>
      </c>
      <c r="O51" s="6" t="n">
        <f aca="false">IF(AND($A51&gt;=Inputs!$C$10,$A51&lt;=Inputs!$C$11),1,0)</f>
        <v>1</v>
      </c>
      <c r="P51" s="6" t="n">
        <f aca="false">IF(AND($A51&gt;=Inputs!$C$12,$A51&lt;=Inputs!$C$13),1,0)</f>
        <v>0</v>
      </c>
    </row>
    <row r="52" customFormat="false" ht="15" hidden="false" customHeight="false" outlineLevel="0" collapsed="false">
      <c r="A52" s="11" t="n">
        <v>44531</v>
      </c>
      <c r="B52" s="5" t="s">
        <v>158</v>
      </c>
      <c r="C52" s="13" t="n">
        <v>61</v>
      </c>
      <c r="D52" s="13" t="n">
        <v>16</v>
      </c>
      <c r="E52" s="13" t="n">
        <v>12</v>
      </c>
      <c r="F52" s="13" t="n">
        <v>3</v>
      </c>
      <c r="G52" s="20" t="n">
        <v>9674</v>
      </c>
      <c r="H52" s="7" t="str">
        <f aca="false">INDEX(Seg_Map!$B$4:$B$8,MATCH($B52,Seg_Map!$A$4:$A$8,0))</f>
        <v>Velocity (1-50)</v>
      </c>
      <c r="I52" s="7" t="str">
        <f aca="false">INDEX(Seg_Map!$C$4:$C$8,MATCH($B52,Seg_Map!$A$4:$A$8,0))</f>
        <v>Velocity</v>
      </c>
      <c r="J52" s="7" t="str">
        <f aca="false">INDEX(Seg_Map!$D$4:$D$8,MATCH($B52,Seg_Map!$A$4:$A$8,0))</f>
        <v>SMB (1-100)</v>
      </c>
      <c r="K52" s="7" t="str">
        <f aca="false">INDEX(Seg_Map!$E$4:$E$8,MATCH($B52,Seg_Map!$A$4:$A$8,0))</f>
        <v>SMB (1-50)</v>
      </c>
      <c r="L52" s="6" t="n">
        <f aca="false">IF(AND($A52&gt;=Inputs!$C$5,$A52&lt;=Inputs!$C$6),1,0)</f>
        <v>0</v>
      </c>
      <c r="M52" s="6" t="n">
        <f aca="false">IF($A52=Inputs!$C$7,1,0)</f>
        <v>0</v>
      </c>
      <c r="N52" s="6" t="n">
        <f aca="false">IF(AND($A52&gt;=Inputs!$C$8,$A52&lt;=Inputs!$C$9),1,0)</f>
        <v>0</v>
      </c>
      <c r="O52" s="6" t="n">
        <f aca="false">IF(AND($A52&gt;=Inputs!$C$10,$A52&lt;=Inputs!$C$11),1,0)</f>
        <v>1</v>
      </c>
      <c r="P52" s="6" t="n">
        <f aca="false">IF(AND($A52&gt;=Inputs!$C$12,$A52&lt;=Inputs!$C$13),1,0)</f>
        <v>0</v>
      </c>
    </row>
    <row r="53" customFormat="false" ht="15" hidden="false" customHeight="false" outlineLevel="0" collapsed="false">
      <c r="A53" s="11" t="n">
        <v>44531</v>
      </c>
      <c r="B53" s="5" t="s">
        <v>159</v>
      </c>
      <c r="C53" s="13" t="n">
        <v>142</v>
      </c>
      <c r="D53" s="13" t="n">
        <v>36</v>
      </c>
      <c r="E53" s="13" t="n">
        <v>28</v>
      </c>
      <c r="F53" s="13" t="n">
        <v>7</v>
      </c>
      <c r="G53" s="20" t="n">
        <v>27830</v>
      </c>
      <c r="H53" s="7" t="str">
        <f aca="false">INDEX(Seg_Map!$B$4:$B$8,MATCH($B53,Seg_Map!$A$4:$A$8,0))</f>
        <v>Velocity (1-50)</v>
      </c>
      <c r="I53" s="7" t="str">
        <f aca="false">INDEX(Seg_Map!$C$4:$C$8,MATCH($B53,Seg_Map!$A$4:$A$8,0))</f>
        <v>Velocity</v>
      </c>
      <c r="J53" s="7" t="str">
        <f aca="false">INDEX(Seg_Map!$D$4:$D$8,MATCH($B53,Seg_Map!$A$4:$A$8,0))</f>
        <v>SMB (1-100)</v>
      </c>
      <c r="K53" s="7" t="str">
        <f aca="false">INDEX(Seg_Map!$E$4:$E$8,MATCH($B53,Seg_Map!$A$4:$A$8,0))</f>
        <v>SMB (1-50)</v>
      </c>
      <c r="L53" s="6" t="n">
        <f aca="false">IF(AND($A53&gt;=Inputs!$C$5,$A53&lt;=Inputs!$C$6),1,0)</f>
        <v>0</v>
      </c>
      <c r="M53" s="6" t="n">
        <f aca="false">IF($A53=Inputs!$C$7,1,0)</f>
        <v>0</v>
      </c>
      <c r="N53" s="6" t="n">
        <f aca="false">IF(AND($A53&gt;=Inputs!$C$8,$A53&lt;=Inputs!$C$9),1,0)</f>
        <v>0</v>
      </c>
      <c r="O53" s="6" t="n">
        <f aca="false">IF(AND($A53&gt;=Inputs!$C$10,$A53&lt;=Inputs!$C$11),1,0)</f>
        <v>1</v>
      </c>
      <c r="P53" s="6" t="n">
        <f aca="false">IF(AND($A53&gt;=Inputs!$C$12,$A53&lt;=Inputs!$C$13),1,0)</f>
        <v>0</v>
      </c>
    </row>
    <row r="54" customFormat="false" ht="15" hidden="false" customHeight="false" outlineLevel="0" collapsed="false">
      <c r="A54" s="11" t="n">
        <v>44531</v>
      </c>
      <c r="B54" s="5" t="s">
        <v>160</v>
      </c>
      <c r="C54" s="13" t="n">
        <v>193</v>
      </c>
      <c r="D54" s="13" t="n">
        <v>46</v>
      </c>
      <c r="E54" s="13" t="n">
        <v>37</v>
      </c>
      <c r="F54" s="13" t="n">
        <v>9</v>
      </c>
      <c r="G54" s="20" t="n">
        <v>84236</v>
      </c>
      <c r="H54" s="7" t="str">
        <f aca="false">INDEX(Seg_Map!$B$4:$B$8,MATCH($B54,Seg_Map!$A$4:$A$8,0))</f>
        <v>Emerging MM (51-100)</v>
      </c>
      <c r="I54" s="7" t="str">
        <f aca="false">INDEX(Seg_Map!$C$4:$C$8,MATCH($B54,Seg_Map!$A$4:$A$8,0))</f>
        <v>Mid-Market</v>
      </c>
      <c r="J54" s="7" t="str">
        <f aca="false">INDEX(Seg_Map!$D$4:$D$8,MATCH($B54,Seg_Map!$A$4:$A$8,0))</f>
        <v>SMB (1-100)</v>
      </c>
      <c r="K54" s="7" t="str">
        <f aca="false">INDEX(Seg_Map!$E$4:$E$8,MATCH($B54,Seg_Map!$A$4:$A$8,0))</f>
        <v>MM (51-500)</v>
      </c>
      <c r="L54" s="6" t="n">
        <f aca="false">IF(AND($A54&gt;=Inputs!$C$5,$A54&lt;=Inputs!$C$6),1,0)</f>
        <v>0</v>
      </c>
      <c r="M54" s="6" t="n">
        <f aca="false">IF($A54=Inputs!$C$7,1,0)</f>
        <v>0</v>
      </c>
      <c r="N54" s="6" t="n">
        <f aca="false">IF(AND($A54&gt;=Inputs!$C$8,$A54&lt;=Inputs!$C$9),1,0)</f>
        <v>0</v>
      </c>
      <c r="O54" s="6" t="n">
        <f aca="false">IF(AND($A54&gt;=Inputs!$C$10,$A54&lt;=Inputs!$C$11),1,0)</f>
        <v>1</v>
      </c>
      <c r="P54" s="6" t="n">
        <f aca="false">IF(AND($A54&gt;=Inputs!$C$12,$A54&lt;=Inputs!$C$13),1,0)</f>
        <v>0</v>
      </c>
    </row>
    <row r="55" customFormat="false" ht="15" hidden="false" customHeight="false" outlineLevel="0" collapsed="false">
      <c r="A55" s="11" t="n">
        <v>44531</v>
      </c>
      <c r="B55" s="5" t="s">
        <v>161</v>
      </c>
      <c r="C55" s="13" t="n">
        <v>396</v>
      </c>
      <c r="D55" s="13" t="n">
        <v>83</v>
      </c>
      <c r="E55" s="13" t="n">
        <v>57</v>
      </c>
      <c r="F55" s="13" t="n">
        <v>12</v>
      </c>
      <c r="G55" s="20" t="n">
        <v>167366</v>
      </c>
      <c r="H55" s="7" t="str">
        <f aca="false">INDEX(Seg_Map!$B$4:$B$8,MATCH($B55,Seg_Map!$A$4:$A$8,0))</f>
        <v>Core MM (101-500)</v>
      </c>
      <c r="I55" s="7" t="str">
        <f aca="false">INDEX(Seg_Map!$C$4:$C$8,MATCH($B55,Seg_Map!$A$4:$A$8,0))</f>
        <v>Mid-Market</v>
      </c>
      <c r="J55" s="7" t="str">
        <f aca="false">INDEX(Seg_Map!$D$4:$D$8,MATCH($B55,Seg_Map!$A$4:$A$8,0))</f>
        <v>MM (101-500)</v>
      </c>
      <c r="K55" s="7" t="str">
        <f aca="false">INDEX(Seg_Map!$E$4:$E$8,MATCH($B55,Seg_Map!$A$4:$A$8,0))</f>
        <v>MM (51-500)</v>
      </c>
      <c r="L55" s="6" t="n">
        <f aca="false">IF(AND($A55&gt;=Inputs!$C$5,$A55&lt;=Inputs!$C$6),1,0)</f>
        <v>0</v>
      </c>
      <c r="M55" s="6" t="n">
        <f aca="false">IF($A55=Inputs!$C$7,1,0)</f>
        <v>0</v>
      </c>
      <c r="N55" s="6" t="n">
        <f aca="false">IF(AND($A55&gt;=Inputs!$C$8,$A55&lt;=Inputs!$C$9),1,0)</f>
        <v>0</v>
      </c>
      <c r="O55" s="6" t="n">
        <f aca="false">IF(AND($A55&gt;=Inputs!$C$10,$A55&lt;=Inputs!$C$11),1,0)</f>
        <v>1</v>
      </c>
      <c r="P55" s="6" t="n">
        <f aca="false">IF(AND($A55&gt;=Inputs!$C$12,$A55&lt;=Inputs!$C$13),1,0)</f>
        <v>0</v>
      </c>
    </row>
    <row r="56" customFormat="false" ht="15" hidden="false" customHeight="false" outlineLevel="0" collapsed="false">
      <c r="A56" s="11" t="n">
        <v>44531</v>
      </c>
      <c r="B56" s="5" t="s">
        <v>162</v>
      </c>
      <c r="C56" s="13" t="n">
        <v>223</v>
      </c>
      <c r="D56" s="13" t="n">
        <v>31</v>
      </c>
      <c r="E56" s="13" t="n">
        <v>20</v>
      </c>
      <c r="F56" s="13" t="n">
        <v>3</v>
      </c>
      <c r="G56" s="20" t="n">
        <v>86537</v>
      </c>
      <c r="H56" s="7" t="str">
        <f aca="false">INDEX(Seg_Map!$B$4:$B$8,MATCH($B56,Seg_Map!$A$4:$A$8,0))</f>
        <v>Enterprise (501+)</v>
      </c>
      <c r="I56" s="7" t="str">
        <f aca="false">INDEX(Seg_Map!$C$4:$C$8,MATCH($B56,Seg_Map!$A$4:$A$8,0))</f>
        <v>Enterprise</v>
      </c>
      <c r="J56" s="7" t="str">
        <f aca="false">INDEX(Seg_Map!$D$4:$D$8,MATCH($B56,Seg_Map!$A$4:$A$8,0))</f>
        <v>ENT (501+)</v>
      </c>
      <c r="K56" s="7" t="str">
        <f aca="false">INDEX(Seg_Map!$E$4:$E$8,MATCH($B56,Seg_Map!$A$4:$A$8,0))</f>
        <v>ENT (501+)</v>
      </c>
      <c r="L56" s="6" t="n">
        <f aca="false">IF(AND($A56&gt;=Inputs!$C$5,$A56&lt;=Inputs!$C$6),1,0)</f>
        <v>0</v>
      </c>
      <c r="M56" s="6" t="n">
        <f aca="false">IF($A56=Inputs!$C$7,1,0)</f>
        <v>0</v>
      </c>
      <c r="N56" s="6" t="n">
        <f aca="false">IF(AND($A56&gt;=Inputs!$C$8,$A56&lt;=Inputs!$C$9),1,0)</f>
        <v>0</v>
      </c>
      <c r="O56" s="6" t="n">
        <f aca="false">IF(AND($A56&gt;=Inputs!$C$10,$A56&lt;=Inputs!$C$11),1,0)</f>
        <v>1</v>
      </c>
      <c r="P56" s="6" t="n">
        <f aca="false">IF(AND($A56&gt;=Inputs!$C$12,$A56&lt;=Inputs!$C$13),1,0)</f>
        <v>0</v>
      </c>
    </row>
    <row r="57" customFormat="false" ht="15" hidden="false" customHeight="false" outlineLevel="0" collapsed="false">
      <c r="A57" s="11" t="n">
        <v>44562</v>
      </c>
      <c r="B57" s="5" t="s">
        <v>158</v>
      </c>
      <c r="C57" s="13" t="n">
        <v>96</v>
      </c>
      <c r="D57" s="13" t="n">
        <v>36</v>
      </c>
      <c r="E57" s="13" t="n">
        <v>29</v>
      </c>
      <c r="F57" s="13" t="n">
        <v>10</v>
      </c>
      <c r="G57" s="20" t="n">
        <v>30708</v>
      </c>
      <c r="H57" s="7" t="str">
        <f aca="false">INDEX(Seg_Map!$B$4:$B$8,MATCH($B57,Seg_Map!$A$4:$A$8,0))</f>
        <v>Velocity (1-50)</v>
      </c>
      <c r="I57" s="7" t="str">
        <f aca="false">INDEX(Seg_Map!$C$4:$C$8,MATCH($B57,Seg_Map!$A$4:$A$8,0))</f>
        <v>Velocity</v>
      </c>
      <c r="J57" s="7" t="str">
        <f aca="false">INDEX(Seg_Map!$D$4:$D$8,MATCH($B57,Seg_Map!$A$4:$A$8,0))</f>
        <v>SMB (1-100)</v>
      </c>
      <c r="K57" s="7" t="str">
        <f aca="false">INDEX(Seg_Map!$E$4:$E$8,MATCH($B57,Seg_Map!$A$4:$A$8,0))</f>
        <v>SMB (1-50)</v>
      </c>
      <c r="L57" s="6" t="n">
        <f aca="false">IF(AND($A57&gt;=Inputs!$C$5,$A57&lt;=Inputs!$C$6),1,0)</f>
        <v>0</v>
      </c>
      <c r="M57" s="6" t="n">
        <f aca="false">IF($A57=Inputs!$C$7,1,0)</f>
        <v>1</v>
      </c>
      <c r="N57" s="6" t="n">
        <f aca="false">IF(AND($A57&gt;=Inputs!$C$8,$A57&lt;=Inputs!$C$9),1,0)</f>
        <v>0</v>
      </c>
      <c r="O57" s="6" t="n">
        <f aca="false">IF(AND($A57&gt;=Inputs!$C$10,$A57&lt;=Inputs!$C$11),1,0)</f>
        <v>0</v>
      </c>
      <c r="P57" s="6" t="n">
        <f aca="false">IF(AND($A57&gt;=Inputs!$C$12,$A57&lt;=Inputs!$C$13),1,0)</f>
        <v>0</v>
      </c>
    </row>
    <row r="58" customFormat="false" ht="15" hidden="false" customHeight="false" outlineLevel="0" collapsed="false">
      <c r="A58" s="11" t="n">
        <v>44562</v>
      </c>
      <c r="B58" s="5" t="s">
        <v>159</v>
      </c>
      <c r="C58" s="13" t="n">
        <v>249</v>
      </c>
      <c r="D58" s="13" t="n">
        <v>92</v>
      </c>
      <c r="E58" s="13" t="n">
        <v>75</v>
      </c>
      <c r="F58" s="13" t="n">
        <v>28</v>
      </c>
      <c r="G58" s="20" t="n">
        <v>110092</v>
      </c>
      <c r="H58" s="7" t="str">
        <f aca="false">INDEX(Seg_Map!$B$4:$B$8,MATCH($B58,Seg_Map!$A$4:$A$8,0))</f>
        <v>Velocity (1-50)</v>
      </c>
      <c r="I58" s="7" t="str">
        <f aca="false">INDEX(Seg_Map!$C$4:$C$8,MATCH($B58,Seg_Map!$A$4:$A$8,0))</f>
        <v>Velocity</v>
      </c>
      <c r="J58" s="7" t="str">
        <f aca="false">INDEX(Seg_Map!$D$4:$D$8,MATCH($B58,Seg_Map!$A$4:$A$8,0))</f>
        <v>SMB (1-100)</v>
      </c>
      <c r="K58" s="7" t="str">
        <f aca="false">INDEX(Seg_Map!$E$4:$E$8,MATCH($B58,Seg_Map!$A$4:$A$8,0))</f>
        <v>SMB (1-50)</v>
      </c>
      <c r="L58" s="6" t="n">
        <f aca="false">IF(AND($A58&gt;=Inputs!$C$5,$A58&lt;=Inputs!$C$6),1,0)</f>
        <v>0</v>
      </c>
      <c r="M58" s="6" t="n">
        <f aca="false">IF($A58=Inputs!$C$7,1,0)</f>
        <v>1</v>
      </c>
      <c r="N58" s="6" t="n">
        <f aca="false">IF(AND($A58&gt;=Inputs!$C$8,$A58&lt;=Inputs!$C$9),1,0)</f>
        <v>0</v>
      </c>
      <c r="O58" s="6" t="n">
        <f aca="false">IF(AND($A58&gt;=Inputs!$C$10,$A58&lt;=Inputs!$C$11),1,0)</f>
        <v>0</v>
      </c>
      <c r="P58" s="6" t="n">
        <f aca="false">IF(AND($A58&gt;=Inputs!$C$12,$A58&lt;=Inputs!$C$13),1,0)</f>
        <v>0</v>
      </c>
    </row>
    <row r="59" customFormat="false" ht="15" hidden="false" customHeight="false" outlineLevel="0" collapsed="false">
      <c r="A59" s="11" t="n">
        <v>44562</v>
      </c>
      <c r="B59" s="5" t="s">
        <v>160</v>
      </c>
      <c r="C59" s="13" t="n">
        <v>383</v>
      </c>
      <c r="D59" s="13" t="n">
        <v>130</v>
      </c>
      <c r="E59" s="13" t="n">
        <v>107</v>
      </c>
      <c r="F59" s="13" t="n">
        <v>36</v>
      </c>
      <c r="G59" s="20" t="n">
        <v>353215</v>
      </c>
      <c r="H59" s="7" t="str">
        <f aca="false">INDEX(Seg_Map!$B$4:$B$8,MATCH($B59,Seg_Map!$A$4:$A$8,0))</f>
        <v>Emerging MM (51-100)</v>
      </c>
      <c r="I59" s="7" t="str">
        <f aca="false">INDEX(Seg_Map!$C$4:$C$8,MATCH($B59,Seg_Map!$A$4:$A$8,0))</f>
        <v>Mid-Market</v>
      </c>
      <c r="J59" s="7" t="str">
        <f aca="false">INDEX(Seg_Map!$D$4:$D$8,MATCH($B59,Seg_Map!$A$4:$A$8,0))</f>
        <v>SMB (1-100)</v>
      </c>
      <c r="K59" s="7" t="str">
        <f aca="false">INDEX(Seg_Map!$E$4:$E$8,MATCH($B59,Seg_Map!$A$4:$A$8,0))</f>
        <v>MM (51-500)</v>
      </c>
      <c r="L59" s="6" t="n">
        <f aca="false">IF(AND($A59&gt;=Inputs!$C$5,$A59&lt;=Inputs!$C$6),1,0)</f>
        <v>0</v>
      </c>
      <c r="M59" s="6" t="n">
        <f aca="false">IF($A59=Inputs!$C$7,1,0)</f>
        <v>1</v>
      </c>
      <c r="N59" s="6" t="n">
        <f aca="false">IF(AND($A59&gt;=Inputs!$C$8,$A59&lt;=Inputs!$C$9),1,0)</f>
        <v>0</v>
      </c>
      <c r="O59" s="6" t="n">
        <f aca="false">IF(AND($A59&gt;=Inputs!$C$10,$A59&lt;=Inputs!$C$11),1,0)</f>
        <v>0</v>
      </c>
      <c r="P59" s="6" t="n">
        <f aca="false">IF(AND($A59&gt;=Inputs!$C$12,$A59&lt;=Inputs!$C$13),1,0)</f>
        <v>0</v>
      </c>
    </row>
    <row r="60" customFormat="false" ht="15" hidden="false" customHeight="false" outlineLevel="0" collapsed="false">
      <c r="A60" s="11" t="n">
        <v>44562</v>
      </c>
      <c r="B60" s="5" t="s">
        <v>161</v>
      </c>
      <c r="C60" s="13" t="n">
        <v>785</v>
      </c>
      <c r="D60" s="13" t="n">
        <v>196</v>
      </c>
      <c r="E60" s="13" t="n">
        <v>139</v>
      </c>
      <c r="F60" s="13" t="n">
        <v>35</v>
      </c>
      <c r="G60" s="20" t="n">
        <v>505265</v>
      </c>
      <c r="H60" s="7" t="str">
        <f aca="false">INDEX(Seg_Map!$B$4:$B$8,MATCH($B60,Seg_Map!$A$4:$A$8,0))</f>
        <v>Core MM (101-500)</v>
      </c>
      <c r="I60" s="7" t="str">
        <f aca="false">INDEX(Seg_Map!$C$4:$C$8,MATCH($B60,Seg_Map!$A$4:$A$8,0))</f>
        <v>Mid-Market</v>
      </c>
      <c r="J60" s="7" t="str">
        <f aca="false">INDEX(Seg_Map!$D$4:$D$8,MATCH($B60,Seg_Map!$A$4:$A$8,0))</f>
        <v>MM (101-500)</v>
      </c>
      <c r="K60" s="7" t="str">
        <f aca="false">INDEX(Seg_Map!$E$4:$E$8,MATCH($B60,Seg_Map!$A$4:$A$8,0))</f>
        <v>MM (51-500)</v>
      </c>
      <c r="L60" s="6" t="n">
        <f aca="false">IF(AND($A60&gt;=Inputs!$C$5,$A60&lt;=Inputs!$C$6),1,0)</f>
        <v>0</v>
      </c>
      <c r="M60" s="6" t="n">
        <f aca="false">IF($A60=Inputs!$C$7,1,0)</f>
        <v>1</v>
      </c>
      <c r="N60" s="6" t="n">
        <f aca="false">IF(AND($A60&gt;=Inputs!$C$8,$A60&lt;=Inputs!$C$9),1,0)</f>
        <v>0</v>
      </c>
      <c r="O60" s="6" t="n">
        <f aca="false">IF(AND($A60&gt;=Inputs!$C$10,$A60&lt;=Inputs!$C$11),1,0)</f>
        <v>0</v>
      </c>
      <c r="P60" s="6" t="n">
        <f aca="false">IF(AND($A60&gt;=Inputs!$C$12,$A60&lt;=Inputs!$C$13),1,0)</f>
        <v>0</v>
      </c>
    </row>
    <row r="61" customFormat="false" ht="15" hidden="false" customHeight="false" outlineLevel="0" collapsed="false">
      <c r="A61" s="11" t="n">
        <v>44562</v>
      </c>
      <c r="B61" s="5" t="s">
        <v>162</v>
      </c>
      <c r="C61" s="13" t="n">
        <v>402</v>
      </c>
      <c r="D61" s="13" t="n">
        <v>84</v>
      </c>
      <c r="E61" s="13" t="n">
        <v>54</v>
      </c>
      <c r="F61" s="13" t="n">
        <v>11</v>
      </c>
      <c r="G61" s="20" t="n">
        <v>284756</v>
      </c>
      <c r="H61" s="7" t="str">
        <f aca="false">INDEX(Seg_Map!$B$4:$B$8,MATCH($B61,Seg_Map!$A$4:$A$8,0))</f>
        <v>Enterprise (501+)</v>
      </c>
      <c r="I61" s="7" t="str">
        <f aca="false">INDEX(Seg_Map!$C$4:$C$8,MATCH($B61,Seg_Map!$A$4:$A$8,0))</f>
        <v>Enterprise</v>
      </c>
      <c r="J61" s="7" t="str">
        <f aca="false">INDEX(Seg_Map!$D$4:$D$8,MATCH($B61,Seg_Map!$A$4:$A$8,0))</f>
        <v>ENT (501+)</v>
      </c>
      <c r="K61" s="7" t="str">
        <f aca="false">INDEX(Seg_Map!$E$4:$E$8,MATCH($B61,Seg_Map!$A$4:$A$8,0))</f>
        <v>ENT (501+)</v>
      </c>
      <c r="L61" s="6" t="n">
        <f aca="false">IF(AND($A61&gt;=Inputs!$C$5,$A61&lt;=Inputs!$C$6),1,0)</f>
        <v>0</v>
      </c>
      <c r="M61" s="6" t="n">
        <f aca="false">IF($A61=Inputs!$C$7,1,0)</f>
        <v>1</v>
      </c>
      <c r="N61" s="6" t="n">
        <f aca="false">IF(AND($A61&gt;=Inputs!$C$8,$A61&lt;=Inputs!$C$9),1,0)</f>
        <v>0</v>
      </c>
      <c r="O61" s="6" t="n">
        <f aca="false">IF(AND($A61&gt;=Inputs!$C$10,$A61&lt;=Inputs!$C$11),1,0)</f>
        <v>0</v>
      </c>
      <c r="P61" s="6" t="n">
        <f aca="false">IF(AND($A61&gt;=Inputs!$C$12,$A61&lt;=Inputs!$C$13),1,0)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F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5" min="3" style="0" width="22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3" customFormat="false" ht="30" hidden="false" customHeight="true" outlineLevel="0" collapsed="false">
      <c r="A3" s="18" t="s">
        <v>143</v>
      </c>
      <c r="B3" s="18" t="s">
        <v>165</v>
      </c>
      <c r="C3" s="18" t="s">
        <v>166</v>
      </c>
      <c r="D3" s="18" t="s">
        <v>167</v>
      </c>
      <c r="E3" s="18" t="s">
        <v>168</v>
      </c>
      <c r="F3" s="18" t="s">
        <v>169</v>
      </c>
    </row>
    <row r="4" customFormat="false" ht="15" hidden="false" customHeight="false" outlineLevel="0" collapsed="false">
      <c r="A4" s="5" t="s">
        <v>158</v>
      </c>
      <c r="B4" s="5" t="s">
        <v>82</v>
      </c>
      <c r="C4" s="5" t="s">
        <v>170</v>
      </c>
      <c r="D4" s="5" t="s">
        <v>171</v>
      </c>
      <c r="E4" s="5" t="s">
        <v>172</v>
      </c>
      <c r="F4" s="5" t="n">
        <v>1</v>
      </c>
    </row>
    <row r="5" customFormat="false" ht="15" hidden="false" customHeight="false" outlineLevel="0" collapsed="false">
      <c r="A5" s="5" t="s">
        <v>159</v>
      </c>
      <c r="B5" s="5" t="s">
        <v>82</v>
      </c>
      <c r="C5" s="5" t="s">
        <v>170</v>
      </c>
      <c r="D5" s="5" t="s">
        <v>171</v>
      </c>
      <c r="E5" s="5" t="s">
        <v>172</v>
      </c>
      <c r="F5" s="5" t="n">
        <v>2</v>
      </c>
    </row>
    <row r="6" customFormat="false" ht="15" hidden="false" customHeight="false" outlineLevel="0" collapsed="false">
      <c r="A6" s="5" t="s">
        <v>160</v>
      </c>
      <c r="B6" s="5" t="s">
        <v>83</v>
      </c>
      <c r="C6" s="5" t="s">
        <v>173</v>
      </c>
      <c r="D6" s="5" t="s">
        <v>171</v>
      </c>
      <c r="E6" s="5" t="s">
        <v>174</v>
      </c>
      <c r="F6" s="5" t="n">
        <v>3</v>
      </c>
    </row>
    <row r="7" customFormat="false" ht="15" hidden="false" customHeight="false" outlineLevel="0" collapsed="false">
      <c r="A7" s="5" t="s">
        <v>161</v>
      </c>
      <c r="B7" s="5" t="s">
        <v>84</v>
      </c>
      <c r="C7" s="5" t="s">
        <v>173</v>
      </c>
      <c r="D7" s="5" t="s">
        <v>175</v>
      </c>
      <c r="E7" s="5" t="s">
        <v>174</v>
      </c>
      <c r="F7" s="5" t="n">
        <v>4</v>
      </c>
    </row>
    <row r="8" customFormat="false" ht="15" hidden="false" customHeight="false" outlineLevel="0" collapsed="false">
      <c r="A8" s="5" t="s">
        <v>162</v>
      </c>
      <c r="B8" s="5" t="s">
        <v>85</v>
      </c>
      <c r="C8" s="5" t="s">
        <v>176</v>
      </c>
      <c r="D8" s="5" t="s">
        <v>177</v>
      </c>
      <c r="E8" s="5" t="s">
        <v>177</v>
      </c>
      <c r="F8" s="5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Q1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9" min="2" style="0" width="12"/>
  </cols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4" customFormat="false" ht="15" hidden="false" customHeight="false" outlineLevel="0" collapsed="false">
      <c r="A4" s="8" t="s">
        <v>180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customFormat="false" ht="30" hidden="false" customHeight="true" outlineLevel="0" collapsed="false">
      <c r="A5" s="18" t="s">
        <v>181</v>
      </c>
      <c r="B5" s="18" t="s">
        <v>144</v>
      </c>
      <c r="C5" s="18" t="s">
        <v>145</v>
      </c>
      <c r="D5" s="18" t="s">
        <v>146</v>
      </c>
      <c r="E5" s="18" t="s">
        <v>147</v>
      </c>
      <c r="F5" s="18" t="s">
        <v>182</v>
      </c>
      <c r="G5" s="18" t="s">
        <v>183</v>
      </c>
      <c r="H5" s="18" t="s">
        <v>184</v>
      </c>
      <c r="I5" s="18" t="s">
        <v>185</v>
      </c>
      <c r="J5" s="18" t="s">
        <v>186</v>
      </c>
      <c r="K5" s="18" t="s">
        <v>187</v>
      </c>
      <c r="L5" s="18" t="s">
        <v>188</v>
      </c>
      <c r="M5" s="18" t="s">
        <v>189</v>
      </c>
      <c r="N5" s="18" t="s">
        <v>190</v>
      </c>
      <c r="O5" s="18" t="s">
        <v>191</v>
      </c>
      <c r="P5" s="18" t="s">
        <v>192</v>
      </c>
      <c r="Q5" s="18" t="s">
        <v>193</v>
      </c>
    </row>
    <row r="6" customFormat="false" ht="15" hidden="false" customHeight="false" outlineLevel="0" collapsed="false">
      <c r="A6" s="6" t="s">
        <v>158</v>
      </c>
      <c r="B6" s="22" t="n">
        <f aca="false">SUMIFS(Data!$C$2:$C$61,Data!$B$2:$B$61,$A6)</f>
        <v>1180</v>
      </c>
      <c r="C6" s="22" t="n">
        <f aca="false">SUMIFS(Data!$D$2:$D$61,Data!$B$2:$B$61,$A6)</f>
        <v>437</v>
      </c>
      <c r="D6" s="22" t="n">
        <f aca="false">SUMIFS(Data!$E$2:$E$61,Data!$B$2:$B$61,$A6)</f>
        <v>351</v>
      </c>
      <c r="E6" s="22" t="n">
        <f aca="false">SUMIFS(Data!$F$2:$F$61,Data!$B$2:$B$61,$A6)</f>
        <v>118</v>
      </c>
      <c r="F6" s="23" t="n">
        <f aca="false">SUMIFS(Data!$G$2:$G$61,Data!$B$2:$B$61,$A6)</f>
        <v>352503</v>
      </c>
      <c r="G6" s="24" t="n">
        <f aca="false">C6/B6</f>
        <v>0.370338983050847</v>
      </c>
      <c r="H6" s="24" t="n">
        <f aca="false">D6/C6</f>
        <v>0.803203661327231</v>
      </c>
      <c r="I6" s="24" t="n">
        <f aca="false">E6/D6</f>
        <v>0.336182336182336</v>
      </c>
      <c r="J6" s="24" t="n">
        <f aca="false">E6/B6</f>
        <v>0.1</v>
      </c>
      <c r="K6" s="23" t="n">
        <f aca="false">F6/E6</f>
        <v>2987.31355932203</v>
      </c>
      <c r="L6" s="23" t="n">
        <f aca="false">F6/B6</f>
        <v>298.731355932203</v>
      </c>
      <c r="M6" s="24" t="n">
        <f aca="false">F6/F$11</f>
        <v>0.035087609282042</v>
      </c>
      <c r="N6" s="24" t="n">
        <f aca="false">B6/B$11</f>
        <v>0.0687966417910448</v>
      </c>
      <c r="O6" s="24" t="n">
        <f aca="false">E6/E$11</f>
        <v>0.1090573012939</v>
      </c>
      <c r="P6" s="25" t="n">
        <f aca="false">B6/E6</f>
        <v>10</v>
      </c>
      <c r="Q6" s="25" t="n">
        <f aca="false">C6/E6</f>
        <v>3.70338983050847</v>
      </c>
    </row>
    <row r="7" customFormat="false" ht="15" hidden="false" customHeight="false" outlineLevel="0" collapsed="false">
      <c r="A7" s="6" t="s">
        <v>159</v>
      </c>
      <c r="B7" s="22" t="n">
        <f aca="false">SUMIFS(Data!$C$2:$C$61,Data!$B$2:$B$61,$A7)</f>
        <v>2529</v>
      </c>
      <c r="C7" s="22" t="n">
        <f aca="false">SUMIFS(Data!$D$2:$D$61,Data!$B$2:$B$61,$A7)</f>
        <v>936</v>
      </c>
      <c r="D7" s="22" t="n">
        <f aca="false">SUMIFS(Data!$E$2:$E$61,Data!$B$2:$B$61,$A7)</f>
        <v>745</v>
      </c>
      <c r="E7" s="22" t="n">
        <f aca="false">SUMIFS(Data!$F$2:$F$61,Data!$B$2:$B$61,$A7)</f>
        <v>253</v>
      </c>
      <c r="F7" s="23" t="n">
        <f aca="false">SUMIFS(Data!$G$2:$G$61,Data!$B$2:$B$61,$A7)</f>
        <v>1015546</v>
      </c>
      <c r="G7" s="24" t="n">
        <f aca="false">C7/B7</f>
        <v>0.370106761565836</v>
      </c>
      <c r="H7" s="24" t="n">
        <f aca="false">D7/C7</f>
        <v>0.795940170940171</v>
      </c>
      <c r="I7" s="24" t="n">
        <f aca="false">E7/D7</f>
        <v>0.339597315436242</v>
      </c>
      <c r="J7" s="24" t="n">
        <f aca="false">E7/B7</f>
        <v>0.10003954132068</v>
      </c>
      <c r="K7" s="23" t="n">
        <f aca="false">F7/E7</f>
        <v>4014.01581027668</v>
      </c>
      <c r="L7" s="23" t="n">
        <f aca="false">F7/B7</f>
        <v>401.560300514037</v>
      </c>
      <c r="M7" s="24" t="n">
        <f aca="false">F7/F$11</f>
        <v>0.101085895030512</v>
      </c>
      <c r="N7" s="24" t="n">
        <f aca="false">B7/B$11</f>
        <v>0.147446361940299</v>
      </c>
      <c r="O7" s="24" t="n">
        <f aca="false">E7/E$11</f>
        <v>0.233826247689464</v>
      </c>
      <c r="P7" s="25" t="n">
        <f aca="false">B7/E7</f>
        <v>9.99604743083004</v>
      </c>
      <c r="Q7" s="25" t="n">
        <f aca="false">C7/E7</f>
        <v>3.699604743083</v>
      </c>
    </row>
    <row r="8" customFormat="false" ht="15" hidden="false" customHeight="false" outlineLevel="0" collapsed="false">
      <c r="A8" s="6" t="s">
        <v>160</v>
      </c>
      <c r="B8" s="22" t="n">
        <f aca="false">SUMIFS(Data!$C$2:$C$61,Data!$B$2:$B$61,$A8)</f>
        <v>3246</v>
      </c>
      <c r="C8" s="22" t="n">
        <f aca="false">SUMIFS(Data!$D$2:$D$61,Data!$B$2:$B$61,$A8)</f>
        <v>1163</v>
      </c>
      <c r="D8" s="22" t="n">
        <f aca="false">SUMIFS(Data!$E$2:$E$61,Data!$B$2:$B$61,$A8)</f>
        <v>926</v>
      </c>
      <c r="E8" s="22" t="n">
        <f aca="false">SUMIFS(Data!$F$2:$F$61,Data!$B$2:$B$61,$A8)</f>
        <v>312</v>
      </c>
      <c r="F8" s="23" t="n">
        <f aca="false">SUMIFS(Data!$G$2:$G$61,Data!$B$2:$B$61,$A8)</f>
        <v>2905721</v>
      </c>
      <c r="G8" s="24" t="n">
        <f aca="false">C8/B8</f>
        <v>0.358287122612446</v>
      </c>
      <c r="H8" s="24" t="n">
        <f aca="false">D8/C8</f>
        <v>0.796216680997421</v>
      </c>
      <c r="I8" s="24" t="n">
        <f aca="false">E8/D8</f>
        <v>0.336933045356372</v>
      </c>
      <c r="J8" s="24" t="n">
        <f aca="false">E8/B8</f>
        <v>0.0961182994454713</v>
      </c>
      <c r="K8" s="23" t="n">
        <f aca="false">F8/E8</f>
        <v>9313.20833333333</v>
      </c>
      <c r="L8" s="23" t="n">
        <f aca="false">F8/B8</f>
        <v>895.169747381393</v>
      </c>
      <c r="M8" s="24" t="n">
        <f aca="false">F8/F$11</f>
        <v>0.289231022517891</v>
      </c>
      <c r="N8" s="24" t="n">
        <f aca="false">B8/B$11</f>
        <v>0.189249067164179</v>
      </c>
      <c r="O8" s="24" t="n">
        <f aca="false">E8/E$11</f>
        <v>0.288354898336414</v>
      </c>
      <c r="P8" s="25" t="n">
        <f aca="false">B8/E8</f>
        <v>10.4038461538462</v>
      </c>
      <c r="Q8" s="25" t="n">
        <f aca="false">C8/E8</f>
        <v>3.7275641025641</v>
      </c>
    </row>
    <row r="9" customFormat="false" ht="15" hidden="false" customHeight="false" outlineLevel="0" collapsed="false">
      <c r="A9" s="6" t="s">
        <v>161</v>
      </c>
      <c r="B9" s="22" t="n">
        <f aca="false">SUMIFS(Data!$C$2:$C$61,Data!$B$2:$B$61,$A9)</f>
        <v>6962</v>
      </c>
      <c r="C9" s="22" t="n">
        <f aca="false">SUMIFS(Data!$D$2:$D$61,Data!$B$2:$B$61,$A9)</f>
        <v>1807</v>
      </c>
      <c r="D9" s="22" t="n">
        <f aca="false">SUMIFS(Data!$E$2:$E$61,Data!$B$2:$B$61,$A9)</f>
        <v>1264</v>
      </c>
      <c r="E9" s="22" t="n">
        <f aca="false">SUMIFS(Data!$F$2:$F$61,Data!$B$2:$B$61,$A9)</f>
        <v>321</v>
      </c>
      <c r="F9" s="23" t="n">
        <f aca="false">SUMIFS(Data!$G$2:$G$61,Data!$B$2:$B$61,$A9)</f>
        <v>4000078</v>
      </c>
      <c r="G9" s="24" t="n">
        <f aca="false">C9/B9</f>
        <v>0.259551852915829</v>
      </c>
      <c r="H9" s="24" t="n">
        <f aca="false">D9/C9</f>
        <v>0.699501936912009</v>
      </c>
      <c r="I9" s="24" t="n">
        <f aca="false">E9/D9</f>
        <v>0.253955696202532</v>
      </c>
      <c r="J9" s="24" t="n">
        <f aca="false">E9/B9</f>
        <v>0.0461074403906923</v>
      </c>
      <c r="K9" s="23" t="n">
        <f aca="false">F9/E9</f>
        <v>12461.3021806854</v>
      </c>
      <c r="L9" s="23" t="n">
        <f aca="false">F9/B9</f>
        <v>574.558747486355</v>
      </c>
      <c r="M9" s="24" t="n">
        <f aca="false">F9/F$11</f>
        <v>0.398161643905702</v>
      </c>
      <c r="N9" s="24" t="n">
        <f aca="false">B9/B$11</f>
        <v>0.405900186567164</v>
      </c>
      <c r="O9" s="24" t="n">
        <f aca="false">E9/E$11</f>
        <v>0.296672828096118</v>
      </c>
      <c r="P9" s="25" t="n">
        <f aca="false">B9/E9</f>
        <v>21.6884735202492</v>
      </c>
      <c r="Q9" s="25" t="n">
        <f aca="false">C9/E9</f>
        <v>5.62928348909657</v>
      </c>
    </row>
    <row r="10" customFormat="false" ht="15" hidden="false" customHeight="false" outlineLevel="0" collapsed="false">
      <c r="A10" s="6" t="s">
        <v>162</v>
      </c>
      <c r="B10" s="22" t="n">
        <f aca="false">SUMIFS(Data!$C$2:$C$61,Data!$B$2:$B$61,$A10)</f>
        <v>3235</v>
      </c>
      <c r="C10" s="22" t="n">
        <f aca="false">SUMIFS(Data!$D$2:$D$61,Data!$B$2:$B$61,$A10)</f>
        <v>608</v>
      </c>
      <c r="D10" s="22" t="n">
        <f aca="false">SUMIFS(Data!$E$2:$E$61,Data!$B$2:$B$61,$A10)</f>
        <v>396</v>
      </c>
      <c r="E10" s="22" t="n">
        <f aca="false">SUMIFS(Data!$F$2:$F$61,Data!$B$2:$B$61,$A10)</f>
        <v>78</v>
      </c>
      <c r="F10" s="23" t="n">
        <f aca="false">SUMIFS(Data!$G$2:$G$61,Data!$B$2:$B$61,$A10)</f>
        <v>1772519</v>
      </c>
      <c r="G10" s="24" t="n">
        <f aca="false">C10/B10</f>
        <v>0.187944358578053</v>
      </c>
      <c r="H10" s="24" t="n">
        <f aca="false">D10/C10</f>
        <v>0.651315789473684</v>
      </c>
      <c r="I10" s="24" t="n">
        <f aca="false">E10/D10</f>
        <v>0.196969696969697</v>
      </c>
      <c r="J10" s="24" t="n">
        <f aca="false">E10/B10</f>
        <v>0.0241112828438949</v>
      </c>
      <c r="K10" s="23" t="n">
        <f aca="false">F10/E10</f>
        <v>22724.6025641026</v>
      </c>
      <c r="L10" s="23" t="n">
        <f aca="false">F10/B10</f>
        <v>547.919319938176</v>
      </c>
      <c r="M10" s="24" t="n">
        <f aca="false">F10/F$11</f>
        <v>0.176433829263852</v>
      </c>
      <c r="N10" s="24" t="n">
        <f aca="false">B10/B$11</f>
        <v>0.188607742537313</v>
      </c>
      <c r="O10" s="24" t="n">
        <f aca="false">E10/E$11</f>
        <v>0.0720887245841035</v>
      </c>
      <c r="P10" s="25" t="n">
        <f aca="false">B10/E10</f>
        <v>41.474358974359</v>
      </c>
      <c r="Q10" s="25" t="n">
        <f aca="false">C10/E10</f>
        <v>7.7948717948718</v>
      </c>
    </row>
    <row r="11" customFormat="false" ht="15" hidden="false" customHeight="false" outlineLevel="0" collapsed="false">
      <c r="A11" s="3" t="s">
        <v>194</v>
      </c>
      <c r="B11" s="26" t="n">
        <f aca="false">SUM(B6:B10)</f>
        <v>17152</v>
      </c>
      <c r="C11" s="26" t="n">
        <f aca="false">SUM(C6:C10)</f>
        <v>4951</v>
      </c>
      <c r="D11" s="26" t="n">
        <f aca="false">SUM(D6:D10)</f>
        <v>3682</v>
      </c>
      <c r="E11" s="26" t="n">
        <f aca="false">SUM(E6:E10)</f>
        <v>1082</v>
      </c>
      <c r="F11" s="27" t="n">
        <f aca="false">SUM(F6:F10)</f>
        <v>10046367</v>
      </c>
      <c r="G11" s="24" t="n">
        <f aca="false">C11/B11</f>
        <v>0.288654384328358</v>
      </c>
      <c r="H11" s="24" t="n">
        <f aca="false">D11/C11</f>
        <v>0.743688143809332</v>
      </c>
      <c r="I11" s="24" t="n">
        <f aca="false">E11/D11</f>
        <v>0.293862031504617</v>
      </c>
      <c r="J11" s="24" t="n">
        <f aca="false">E11/B11</f>
        <v>0.0630830223880597</v>
      </c>
      <c r="K11" s="23" t="n">
        <f aca="false">F11/E11</f>
        <v>9284.99722735675</v>
      </c>
      <c r="L11" s="23" t="n">
        <f aca="false">F11/B11</f>
        <v>585.725687966418</v>
      </c>
      <c r="M11" s="24" t="n">
        <f aca="false">F11/F$11</f>
        <v>1</v>
      </c>
      <c r="N11" s="24" t="n">
        <f aca="false">B11/B$11</f>
        <v>1</v>
      </c>
      <c r="O11" s="24" t="n">
        <f aca="false">E11/E$11</f>
        <v>1</v>
      </c>
      <c r="P11" s="25" t="n">
        <f aca="false">B11/E11</f>
        <v>15.8521256931608</v>
      </c>
      <c r="Q11" s="25" t="n">
        <f aca="false">C11/E11</f>
        <v>4.57578558225508</v>
      </c>
    </row>
    <row r="13" customFormat="false" ht="15" hidden="false" customHeight="false" outlineLevel="0" collapsed="false">
      <c r="A13" s="8" t="s">
        <v>195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customFormat="false" ht="30" hidden="false" customHeight="true" outlineLevel="0" collapsed="false">
      <c r="A14" s="18" t="s">
        <v>142</v>
      </c>
      <c r="B14" s="18" t="s">
        <v>144</v>
      </c>
      <c r="C14" s="18" t="s">
        <v>145</v>
      </c>
      <c r="D14" s="18" t="s">
        <v>146</v>
      </c>
      <c r="E14" s="18" t="s">
        <v>147</v>
      </c>
      <c r="F14" s="18" t="s">
        <v>182</v>
      </c>
      <c r="G14" s="18" t="s">
        <v>183</v>
      </c>
      <c r="H14" s="18" t="s">
        <v>184</v>
      </c>
      <c r="I14" s="18" t="s">
        <v>185</v>
      </c>
      <c r="J14" s="18" t="s">
        <v>186</v>
      </c>
      <c r="K14" s="18" t="s">
        <v>187</v>
      </c>
      <c r="L14" s="18" t="s">
        <v>188</v>
      </c>
      <c r="M14" s="18" t="s">
        <v>196</v>
      </c>
    </row>
    <row r="15" customFormat="false" ht="15" hidden="false" customHeight="false" outlineLevel="0" collapsed="false">
      <c r="A15" s="11" t="n">
        <v>44228</v>
      </c>
      <c r="B15" s="22" t="n">
        <f aca="false">SUMIFS(Data!$C$2:$C$61,Data!$A$2:$A$61,$A15)</f>
        <v>1155</v>
      </c>
      <c r="C15" s="22" t="n">
        <f aca="false">SUMIFS(Data!$D$2:$D$61,Data!$A$2:$A$61,$A15)</f>
        <v>410</v>
      </c>
      <c r="D15" s="22" t="n">
        <f aca="false">SUMIFS(Data!$E$2:$E$61,Data!$A$2:$A$61,$A15)</f>
        <v>306</v>
      </c>
      <c r="E15" s="22" t="n">
        <f aca="false">SUMIFS(Data!$F$2:$F$61,Data!$A$2:$A$61,$A15)</f>
        <v>90</v>
      </c>
      <c r="F15" s="23" t="n">
        <f aca="false">SUMIFS(Data!$G$2:$G$61,Data!$A$2:$A$61,$A15)</f>
        <v>690370</v>
      </c>
      <c r="G15" s="24" t="n">
        <f aca="false">C15/B15</f>
        <v>0.354978354978355</v>
      </c>
      <c r="H15" s="24" t="n">
        <f aca="false">D15/C15</f>
        <v>0.746341463414634</v>
      </c>
      <c r="I15" s="24" t="n">
        <f aca="false">E15/D15</f>
        <v>0.294117647058824</v>
      </c>
      <c r="J15" s="24" t="n">
        <f aca="false">E15/B15</f>
        <v>0.0779220779220779</v>
      </c>
      <c r="K15" s="23" t="n">
        <f aca="false">F15/E15</f>
        <v>7670.77777777778</v>
      </c>
      <c r="L15" s="23" t="n">
        <f aca="false">F15/B15</f>
        <v>597.722943722944</v>
      </c>
      <c r="M15" s="22" t="n">
        <f aca="false">SUMIFS(Data!$O$2:$O$61,Data!$A$2:$A$61,$A15)/5</f>
        <v>0</v>
      </c>
    </row>
    <row r="16" customFormat="false" ht="15" hidden="false" customHeight="false" outlineLevel="0" collapsed="false">
      <c r="A16" s="11" t="n">
        <v>44256</v>
      </c>
      <c r="B16" s="22" t="n">
        <f aca="false">SUMIFS(Data!$C$2:$C$61,Data!$A$2:$A$61,$A16)</f>
        <v>1214</v>
      </c>
      <c r="C16" s="22" t="n">
        <f aca="false">SUMIFS(Data!$D$2:$D$61,Data!$A$2:$A$61,$A16)</f>
        <v>401</v>
      </c>
      <c r="D16" s="22" t="n">
        <f aca="false">SUMIFS(Data!$E$2:$E$61,Data!$A$2:$A$61,$A16)</f>
        <v>296</v>
      </c>
      <c r="E16" s="22" t="n">
        <f aca="false">SUMIFS(Data!$F$2:$F$61,Data!$A$2:$A$61,$A16)</f>
        <v>86</v>
      </c>
      <c r="F16" s="23" t="n">
        <f aca="false">SUMIFS(Data!$G$2:$G$61,Data!$A$2:$A$61,$A16)</f>
        <v>718139</v>
      </c>
      <c r="G16" s="24" t="n">
        <f aca="false">C16/B16</f>
        <v>0.330313014827018</v>
      </c>
      <c r="H16" s="24" t="n">
        <f aca="false">D16/C16</f>
        <v>0.738154613466334</v>
      </c>
      <c r="I16" s="24" t="n">
        <f aca="false">E16/D16</f>
        <v>0.290540540540541</v>
      </c>
      <c r="J16" s="24" t="n">
        <f aca="false">E16/B16</f>
        <v>0.070840197693575</v>
      </c>
      <c r="K16" s="23" t="n">
        <f aca="false">F16/E16</f>
        <v>8350.45348837209</v>
      </c>
      <c r="L16" s="23" t="n">
        <f aca="false">F16/B16</f>
        <v>591.547775947282</v>
      </c>
      <c r="M16" s="22" t="n">
        <f aca="false">SUMIFS(Data!$O$2:$O$61,Data!$A$2:$A$61,$A16)/5</f>
        <v>0</v>
      </c>
    </row>
    <row r="17" customFormat="false" ht="15" hidden="false" customHeight="false" outlineLevel="0" collapsed="false">
      <c r="A17" s="11" t="n">
        <v>44287</v>
      </c>
      <c r="B17" s="22" t="n">
        <f aca="false">SUMIFS(Data!$C$2:$C$61,Data!$A$2:$A$61,$A17)</f>
        <v>1315</v>
      </c>
      <c r="C17" s="22" t="n">
        <f aca="false">SUMIFS(Data!$D$2:$D$61,Data!$A$2:$A$61,$A17)</f>
        <v>416</v>
      </c>
      <c r="D17" s="22" t="n">
        <f aca="false">SUMIFS(Data!$E$2:$E$61,Data!$A$2:$A$61,$A17)</f>
        <v>312</v>
      </c>
      <c r="E17" s="22" t="n">
        <f aca="false">SUMIFS(Data!$F$2:$F$61,Data!$A$2:$A$61,$A17)</f>
        <v>93</v>
      </c>
      <c r="F17" s="23" t="n">
        <f aca="false">SUMIFS(Data!$G$2:$G$61,Data!$A$2:$A$61,$A17)</f>
        <v>756173</v>
      </c>
      <c r="G17" s="24" t="n">
        <f aca="false">C17/B17</f>
        <v>0.316349809885932</v>
      </c>
      <c r="H17" s="24" t="n">
        <f aca="false">D17/C17</f>
        <v>0.75</v>
      </c>
      <c r="I17" s="24" t="n">
        <f aca="false">E17/D17</f>
        <v>0.298076923076923</v>
      </c>
      <c r="J17" s="24" t="n">
        <f aca="false">E17/B17</f>
        <v>0.0707224334600761</v>
      </c>
      <c r="K17" s="23" t="n">
        <f aca="false">F17/E17</f>
        <v>8130.89247311828</v>
      </c>
      <c r="L17" s="23" t="n">
        <f aca="false">F17/B17</f>
        <v>575.036501901141</v>
      </c>
      <c r="M17" s="22" t="n">
        <f aca="false">SUMIFS(Data!$O$2:$O$61,Data!$A$2:$A$61,$A17)/5</f>
        <v>0</v>
      </c>
    </row>
    <row r="18" customFormat="false" ht="15" hidden="false" customHeight="false" outlineLevel="0" collapsed="false">
      <c r="A18" s="11" t="n">
        <v>44317</v>
      </c>
      <c r="B18" s="22" t="n">
        <f aca="false">SUMIFS(Data!$C$2:$C$61,Data!$A$2:$A$61,$A18)</f>
        <v>1399</v>
      </c>
      <c r="C18" s="22" t="n">
        <f aca="false">SUMIFS(Data!$D$2:$D$61,Data!$A$2:$A$61,$A18)</f>
        <v>424</v>
      </c>
      <c r="D18" s="22" t="n">
        <f aca="false">SUMIFS(Data!$E$2:$E$61,Data!$A$2:$A$61,$A18)</f>
        <v>318</v>
      </c>
      <c r="E18" s="22" t="n">
        <f aca="false">SUMIFS(Data!$F$2:$F$61,Data!$A$2:$A$61,$A18)</f>
        <v>103</v>
      </c>
      <c r="F18" s="23" t="n">
        <f aca="false">SUMIFS(Data!$G$2:$G$61,Data!$A$2:$A$61,$A18)</f>
        <v>925457</v>
      </c>
      <c r="G18" s="24" t="n">
        <f aca="false">C18/B18</f>
        <v>0.303073624017155</v>
      </c>
      <c r="H18" s="24" t="n">
        <f aca="false">D18/C18</f>
        <v>0.75</v>
      </c>
      <c r="I18" s="24" t="n">
        <f aca="false">E18/D18</f>
        <v>0.323899371069182</v>
      </c>
      <c r="J18" s="24" t="n">
        <f aca="false">E18/B18</f>
        <v>0.0736240171551108</v>
      </c>
      <c r="K18" s="23" t="n">
        <f aca="false">F18/E18</f>
        <v>8985.01941747573</v>
      </c>
      <c r="L18" s="23" t="n">
        <f aca="false">F18/B18</f>
        <v>661.513223731237</v>
      </c>
      <c r="M18" s="22" t="n">
        <f aca="false">SUMIFS(Data!$O$2:$O$61,Data!$A$2:$A$61,$A18)/5</f>
        <v>0</v>
      </c>
    </row>
    <row r="19" customFormat="false" ht="15" hidden="false" customHeight="false" outlineLevel="0" collapsed="false">
      <c r="A19" s="11" t="n">
        <v>44348</v>
      </c>
      <c r="B19" s="22" t="n">
        <f aca="false">SUMIFS(Data!$C$2:$C$61,Data!$A$2:$A$61,$A19)</f>
        <v>1444</v>
      </c>
      <c r="C19" s="22" t="n">
        <f aca="false">SUMIFS(Data!$D$2:$D$61,Data!$A$2:$A$61,$A19)</f>
        <v>423</v>
      </c>
      <c r="D19" s="22" t="n">
        <f aca="false">SUMIFS(Data!$E$2:$E$61,Data!$A$2:$A$61,$A19)</f>
        <v>316</v>
      </c>
      <c r="E19" s="22" t="n">
        <f aca="false">SUMIFS(Data!$F$2:$F$61,Data!$A$2:$A$61,$A19)</f>
        <v>94</v>
      </c>
      <c r="F19" s="23" t="n">
        <f aca="false">SUMIFS(Data!$G$2:$G$61,Data!$A$2:$A$61,$A19)</f>
        <v>856811</v>
      </c>
      <c r="G19" s="24" t="n">
        <f aca="false">C19/B19</f>
        <v>0.292936288088643</v>
      </c>
      <c r="H19" s="24" t="n">
        <f aca="false">D19/C19</f>
        <v>0.747044917257683</v>
      </c>
      <c r="I19" s="24" t="n">
        <f aca="false">E19/D19</f>
        <v>0.29746835443038</v>
      </c>
      <c r="J19" s="24" t="n">
        <f aca="false">E19/B19</f>
        <v>0.0650969529085873</v>
      </c>
      <c r="K19" s="23" t="n">
        <f aca="false">F19/E19</f>
        <v>9115.01063829787</v>
      </c>
      <c r="L19" s="23" t="n">
        <f aca="false">F19/B19</f>
        <v>593.359418282549</v>
      </c>
      <c r="M19" s="22" t="n">
        <f aca="false">SUMIFS(Data!$O$2:$O$61,Data!$A$2:$A$61,$A19)/5</f>
        <v>0</v>
      </c>
    </row>
    <row r="20" customFormat="false" ht="15" hidden="false" customHeight="false" outlineLevel="0" collapsed="false">
      <c r="A20" s="11" t="n">
        <v>44378</v>
      </c>
      <c r="B20" s="22" t="n">
        <f aca="false">SUMIFS(Data!$C$2:$C$61,Data!$A$2:$A$61,$A20)</f>
        <v>1560</v>
      </c>
      <c r="C20" s="22" t="n">
        <f aca="false">SUMIFS(Data!$D$2:$D$61,Data!$A$2:$A$61,$A20)</f>
        <v>450</v>
      </c>
      <c r="D20" s="22" t="n">
        <f aca="false">SUMIFS(Data!$E$2:$E$61,Data!$A$2:$A$61,$A20)</f>
        <v>339</v>
      </c>
      <c r="E20" s="22" t="n">
        <f aca="false">SUMIFS(Data!$F$2:$F$61,Data!$A$2:$A$61,$A20)</f>
        <v>107</v>
      </c>
      <c r="F20" s="23" t="n">
        <f aca="false">SUMIFS(Data!$G$2:$G$61,Data!$A$2:$A$61,$A20)</f>
        <v>931670</v>
      </c>
      <c r="G20" s="24" t="n">
        <f aca="false">C20/B20</f>
        <v>0.288461538461538</v>
      </c>
      <c r="H20" s="24" t="n">
        <f aca="false">D20/C20</f>
        <v>0.753333333333333</v>
      </c>
      <c r="I20" s="24" t="n">
        <f aca="false">E20/D20</f>
        <v>0.315634218289086</v>
      </c>
      <c r="J20" s="24" t="n">
        <f aca="false">E20/B20</f>
        <v>0.0685897435897436</v>
      </c>
      <c r="K20" s="23" t="n">
        <f aca="false">F20/E20</f>
        <v>8707.19626168224</v>
      </c>
      <c r="L20" s="23" t="n">
        <f aca="false">F20/B20</f>
        <v>597.224358974359</v>
      </c>
      <c r="M20" s="22" t="n">
        <f aca="false">SUMIFS(Data!$O$2:$O$61,Data!$A$2:$A$61,$A20)/5</f>
        <v>0</v>
      </c>
    </row>
    <row r="21" customFormat="false" ht="15" hidden="false" customHeight="false" outlineLevel="0" collapsed="false">
      <c r="A21" s="11" t="n">
        <v>44409</v>
      </c>
      <c r="B21" s="22" t="n">
        <f aca="false">SUMIFS(Data!$C$2:$C$61,Data!$A$2:$A$61,$A21)</f>
        <v>1605</v>
      </c>
      <c r="C21" s="22" t="n">
        <f aca="false">SUMIFS(Data!$D$2:$D$61,Data!$A$2:$A$61,$A21)</f>
        <v>454</v>
      </c>
      <c r="D21" s="22" t="n">
        <f aca="false">SUMIFS(Data!$E$2:$E$61,Data!$A$2:$A$61,$A21)</f>
        <v>338</v>
      </c>
      <c r="E21" s="22" t="n">
        <f aca="false">SUMIFS(Data!$F$2:$F$61,Data!$A$2:$A$61,$A21)</f>
        <v>100</v>
      </c>
      <c r="F21" s="23" t="n">
        <f aca="false">SUMIFS(Data!$G$2:$G$61,Data!$A$2:$A$61,$A21)</f>
        <v>943441</v>
      </c>
      <c r="G21" s="24" t="n">
        <f aca="false">C21/B21</f>
        <v>0.282866043613707</v>
      </c>
      <c r="H21" s="24" t="n">
        <f aca="false">D21/C21</f>
        <v>0.744493392070485</v>
      </c>
      <c r="I21" s="24" t="n">
        <f aca="false">E21/D21</f>
        <v>0.295857988165681</v>
      </c>
      <c r="J21" s="24" t="n">
        <f aca="false">E21/B21</f>
        <v>0.0623052959501558</v>
      </c>
      <c r="K21" s="23" t="n">
        <f aca="false">F21/E21</f>
        <v>9434.41</v>
      </c>
      <c r="L21" s="23" t="n">
        <f aca="false">F21/B21</f>
        <v>587.813707165109</v>
      </c>
      <c r="M21" s="22" t="n">
        <f aca="false">SUMIFS(Data!$O$2:$O$61,Data!$A$2:$A$61,$A21)/5</f>
        <v>0</v>
      </c>
    </row>
    <row r="22" customFormat="false" ht="15" hidden="false" customHeight="false" outlineLevel="0" collapsed="false">
      <c r="A22" s="11" t="n">
        <v>44440</v>
      </c>
      <c r="B22" s="22" t="n">
        <f aca="false">SUMIFS(Data!$C$2:$C$61,Data!$A$2:$A$61,$A22)</f>
        <v>1652</v>
      </c>
      <c r="C22" s="22" t="n">
        <f aca="false">SUMIFS(Data!$D$2:$D$61,Data!$A$2:$A$61,$A22)</f>
        <v>466</v>
      </c>
      <c r="D22" s="22" t="n">
        <f aca="false">SUMIFS(Data!$E$2:$E$61,Data!$A$2:$A$61,$A22)</f>
        <v>342</v>
      </c>
      <c r="E22" s="22" t="n">
        <f aca="false">SUMIFS(Data!$F$2:$F$61,Data!$A$2:$A$61,$A22)</f>
        <v>97</v>
      </c>
      <c r="F22" s="23" t="n">
        <f aca="false">SUMIFS(Data!$G$2:$G$61,Data!$A$2:$A$61,$A22)</f>
        <v>954831</v>
      </c>
      <c r="G22" s="24" t="n">
        <f aca="false">C22/B22</f>
        <v>0.282082324455206</v>
      </c>
      <c r="H22" s="24" t="n">
        <f aca="false">D22/C22</f>
        <v>0.733905579399142</v>
      </c>
      <c r="I22" s="24" t="n">
        <f aca="false">E22/D22</f>
        <v>0.283625730994152</v>
      </c>
      <c r="J22" s="24" t="n">
        <f aca="false">E22/B22</f>
        <v>0.0587167070217918</v>
      </c>
      <c r="K22" s="23" t="n">
        <f aca="false">F22/E22</f>
        <v>9843.61855670103</v>
      </c>
      <c r="L22" s="23" t="n">
        <f aca="false">F22/B22</f>
        <v>577.984866828087</v>
      </c>
      <c r="M22" s="22" t="n">
        <f aca="false">SUMIFS(Data!$O$2:$O$61,Data!$A$2:$A$61,$A22)/5</f>
        <v>0</v>
      </c>
    </row>
    <row r="23" customFormat="false" ht="15" hidden="false" customHeight="false" outlineLevel="0" collapsed="false">
      <c r="A23" s="11" t="n">
        <v>44470</v>
      </c>
      <c r="B23" s="22" t="n">
        <f aca="false">SUMIFS(Data!$C$2:$C$61,Data!$A$2:$A$61,$A23)</f>
        <v>1877</v>
      </c>
      <c r="C23" s="22" t="n">
        <f aca="false">SUMIFS(Data!$D$2:$D$61,Data!$A$2:$A$61,$A23)</f>
        <v>528</v>
      </c>
      <c r="D23" s="22" t="n">
        <f aca="false">SUMIFS(Data!$E$2:$E$61,Data!$A$2:$A$61,$A23)</f>
        <v>389</v>
      </c>
      <c r="E23" s="22" t="n">
        <f aca="false">SUMIFS(Data!$F$2:$F$61,Data!$A$2:$A$61,$A23)</f>
        <v>117</v>
      </c>
      <c r="F23" s="23" t="n">
        <f aca="false">SUMIFS(Data!$G$2:$G$61,Data!$A$2:$A$61,$A23)</f>
        <v>1180005</v>
      </c>
      <c r="G23" s="24" t="n">
        <f aca="false">C23/B23</f>
        <v>0.281299946723495</v>
      </c>
      <c r="H23" s="24" t="n">
        <f aca="false">D23/C23</f>
        <v>0.736742424242424</v>
      </c>
      <c r="I23" s="24" t="n">
        <f aca="false">E23/D23</f>
        <v>0.300771208226221</v>
      </c>
      <c r="J23" s="24" t="n">
        <f aca="false">E23/B23</f>
        <v>0.0623335109216835</v>
      </c>
      <c r="K23" s="23" t="n">
        <f aca="false">F23/E23</f>
        <v>10085.5128205128</v>
      </c>
      <c r="L23" s="23" t="n">
        <f aca="false">F23/B23</f>
        <v>628.665423548215</v>
      </c>
      <c r="M23" s="22" t="n">
        <f aca="false">SUMIFS(Data!$O$2:$O$61,Data!$A$2:$A$61,$A23)/5</f>
        <v>0</v>
      </c>
    </row>
    <row r="24" customFormat="false" ht="15" hidden="false" customHeight="false" outlineLevel="0" collapsed="false">
      <c r="A24" s="11" t="n">
        <v>44501</v>
      </c>
      <c r="B24" s="22" t="n">
        <f aca="false">SUMIFS(Data!$C$2:$C$61,Data!$A$2:$A$61,$A24)</f>
        <v>1001</v>
      </c>
      <c r="C24" s="22" t="n">
        <f aca="false">SUMIFS(Data!$D$2:$D$61,Data!$A$2:$A$61,$A24)</f>
        <v>229</v>
      </c>
      <c r="D24" s="22" t="n">
        <f aca="false">SUMIFS(Data!$E$2:$E$61,Data!$A$2:$A$61,$A24)</f>
        <v>168</v>
      </c>
      <c r="E24" s="22" t="n">
        <f aca="false">SUMIFS(Data!$F$2:$F$61,Data!$A$2:$A$61,$A24)</f>
        <v>41</v>
      </c>
      <c r="F24" s="23" t="n">
        <f aca="false">SUMIFS(Data!$G$2:$G$61,Data!$A$2:$A$61,$A24)</f>
        <v>429791</v>
      </c>
      <c r="G24" s="24" t="n">
        <f aca="false">C24/B24</f>
        <v>0.228771228771229</v>
      </c>
      <c r="H24" s="24" t="n">
        <f aca="false">D24/C24</f>
        <v>0.733624454148472</v>
      </c>
      <c r="I24" s="24" t="n">
        <f aca="false">E24/D24</f>
        <v>0.244047619047619</v>
      </c>
      <c r="J24" s="24" t="n">
        <f aca="false">E24/B24</f>
        <v>0.040959040959041</v>
      </c>
      <c r="K24" s="23" t="n">
        <f aca="false">F24/E24</f>
        <v>10482.7073170732</v>
      </c>
      <c r="L24" s="23" t="n">
        <f aca="false">F24/B24</f>
        <v>429.361638361638</v>
      </c>
      <c r="M24" s="22" t="n">
        <f aca="false">SUMIFS(Data!$O$2:$O$61,Data!$A$2:$A$61,$A24)/5</f>
        <v>1</v>
      </c>
    </row>
    <row r="25" customFormat="false" ht="15" hidden="false" customHeight="false" outlineLevel="0" collapsed="false">
      <c r="A25" s="11" t="n">
        <v>44531</v>
      </c>
      <c r="B25" s="22" t="n">
        <f aca="false">SUMIFS(Data!$C$2:$C$61,Data!$A$2:$A$61,$A25)</f>
        <v>1015</v>
      </c>
      <c r="C25" s="22" t="n">
        <f aca="false">SUMIFS(Data!$D$2:$D$61,Data!$A$2:$A$61,$A25)</f>
        <v>212</v>
      </c>
      <c r="D25" s="22" t="n">
        <f aca="false">SUMIFS(Data!$E$2:$E$61,Data!$A$2:$A$61,$A25)</f>
        <v>154</v>
      </c>
      <c r="E25" s="22" t="n">
        <f aca="false">SUMIFS(Data!$F$2:$F$61,Data!$A$2:$A$61,$A25)</f>
        <v>34</v>
      </c>
      <c r="F25" s="23" t="n">
        <f aca="false">SUMIFS(Data!$G$2:$G$61,Data!$A$2:$A$61,$A25)</f>
        <v>375643</v>
      </c>
      <c r="G25" s="24" t="n">
        <f aca="false">C25/B25</f>
        <v>0.208866995073892</v>
      </c>
      <c r="H25" s="24" t="n">
        <f aca="false">D25/C25</f>
        <v>0.726415094339623</v>
      </c>
      <c r="I25" s="24" t="n">
        <f aca="false">E25/D25</f>
        <v>0.220779220779221</v>
      </c>
      <c r="J25" s="24" t="n">
        <f aca="false">E25/B25</f>
        <v>0.0334975369458128</v>
      </c>
      <c r="K25" s="23" t="n">
        <f aca="false">F25/E25</f>
        <v>11048.3235294118</v>
      </c>
      <c r="L25" s="23" t="n">
        <f aca="false">F25/B25</f>
        <v>370.091625615764</v>
      </c>
      <c r="M25" s="22" t="n">
        <f aca="false">SUMIFS(Data!$O$2:$O$61,Data!$A$2:$A$61,$A25)/5</f>
        <v>1</v>
      </c>
    </row>
    <row r="26" customFormat="false" ht="15" hidden="false" customHeight="false" outlineLevel="0" collapsed="false">
      <c r="A26" s="11" t="n">
        <v>44562</v>
      </c>
      <c r="B26" s="22" t="n">
        <f aca="false">SUMIFS(Data!$C$2:$C$61,Data!$A$2:$A$61,$A26)</f>
        <v>1915</v>
      </c>
      <c r="C26" s="22" t="n">
        <f aca="false">SUMIFS(Data!$D$2:$D$61,Data!$A$2:$A$61,$A26)</f>
        <v>538</v>
      </c>
      <c r="D26" s="22" t="n">
        <f aca="false">SUMIFS(Data!$E$2:$E$61,Data!$A$2:$A$61,$A26)</f>
        <v>404</v>
      </c>
      <c r="E26" s="22" t="n">
        <f aca="false">SUMIFS(Data!$F$2:$F$61,Data!$A$2:$A$61,$A26)</f>
        <v>120</v>
      </c>
      <c r="F26" s="23" t="n">
        <f aca="false">SUMIFS(Data!$G$2:$G$61,Data!$A$2:$A$61,$A26)</f>
        <v>1284036</v>
      </c>
      <c r="G26" s="24" t="n">
        <f aca="false">C26/B26</f>
        <v>0.280939947780679</v>
      </c>
      <c r="H26" s="24" t="n">
        <f aca="false">D26/C26</f>
        <v>0.75092936802974</v>
      </c>
      <c r="I26" s="24" t="n">
        <f aca="false">E26/D26</f>
        <v>0.297029702970297</v>
      </c>
      <c r="J26" s="24" t="n">
        <f aca="false">E26/B26</f>
        <v>0.0626631853785901</v>
      </c>
      <c r="K26" s="23" t="n">
        <f aca="false">F26/E26</f>
        <v>10700.3</v>
      </c>
      <c r="L26" s="23" t="n">
        <f aca="false">F26/B26</f>
        <v>670.514882506527</v>
      </c>
      <c r="M26" s="22" t="n">
        <f aca="false">SUMIFS(Data!$O$2:$O$61,Data!$A$2:$A$61,$A26)/5</f>
        <v>0</v>
      </c>
    </row>
    <row r="27" customFormat="false" ht="15" hidden="false" customHeight="false" outlineLevel="0" collapsed="false">
      <c r="A27" s="3" t="s">
        <v>194</v>
      </c>
      <c r="B27" s="26" t="n">
        <f aca="false">SUM(B15:B26)</f>
        <v>17152</v>
      </c>
      <c r="C27" s="26" t="n">
        <f aca="false">SUM(C15:C26)</f>
        <v>4951</v>
      </c>
      <c r="D27" s="26" t="n">
        <f aca="false">SUM(D15:D26)</f>
        <v>3682</v>
      </c>
      <c r="E27" s="26" t="n">
        <f aca="false">SUM(E15:E26)</f>
        <v>1082</v>
      </c>
      <c r="F27" s="27" t="n">
        <f aca="false">SUM(F15:F26)</f>
        <v>10046367</v>
      </c>
    </row>
    <row r="29" customFormat="false" ht="15" hidden="false" customHeight="false" outlineLevel="0" collapsed="false">
      <c r="A29" s="8" t="s">
        <v>197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customFormat="false" ht="30" hidden="false" customHeight="true" outlineLevel="0" collapsed="false">
      <c r="A30" s="18" t="s">
        <v>142</v>
      </c>
      <c r="B30" s="18" t="s">
        <v>158</v>
      </c>
      <c r="C30" s="18" t="s">
        <v>159</v>
      </c>
      <c r="D30" s="18" t="s">
        <v>160</v>
      </c>
      <c r="E30" s="18" t="s">
        <v>161</v>
      </c>
      <c r="F30" s="18" t="s">
        <v>162</v>
      </c>
      <c r="G30" s="18" t="s">
        <v>194</v>
      </c>
    </row>
    <row r="31" customFormat="false" ht="15" hidden="false" customHeight="false" outlineLevel="0" collapsed="false">
      <c r="A31" s="28" t="n">
        <f aca="false">A15</f>
        <v>44228</v>
      </c>
      <c r="B31" s="24" t="n">
        <f aca="false">SUMIFS(Data!$D$2:$D$61,Data!$A$2:$A$61,$A31,Data!$B$2:$B$61,"1-10")/SUMIFS(Data!$C$2:$C$61,Data!$A$2:$A$61,$A31,Data!$B$2:$B$61,"1-10")</f>
        <v>0.433070866141732</v>
      </c>
      <c r="C31" s="24" t="n">
        <f aca="false">SUMIFS(Data!$D$2:$D$61,Data!$A$2:$A$61,$A31,Data!$B$2:$B$61,"11-50")/SUMIFS(Data!$C$2:$C$61,Data!$A$2:$A$61,$A31,Data!$B$2:$B$61,"11-50")</f>
        <v>0.442307692307692</v>
      </c>
      <c r="D31" s="24" t="n">
        <f aca="false">SUMIFS(Data!$D$2:$D$61,Data!$A$2:$A$61,$A31,Data!$B$2:$B$61,"51-100")/SUMIFS(Data!$C$2:$C$61,Data!$A$2:$A$61,$A31,Data!$B$2:$B$61,"51-100")</f>
        <v>0.41991341991342</v>
      </c>
      <c r="E31" s="24" t="n">
        <f aca="false">SUMIFS(Data!$D$2:$D$61,Data!$A$2:$A$61,$A31,Data!$B$2:$B$61,"101-500")/SUMIFS(Data!$C$2:$C$61,Data!$A$2:$A$61,$A31,Data!$B$2:$B$61,"101-500")</f>
        <v>0.30952380952381</v>
      </c>
      <c r="F31" s="24" t="n">
        <f aca="false">SUMIFS(Data!$D$2:$D$61,Data!$A$2:$A$61,$A31,Data!$B$2:$B$61,"501+")/SUMIFS(Data!$C$2:$C$61,Data!$A$2:$A$61,$A31,Data!$B$2:$B$61,"501+")</f>
        <v>0.181102362204724</v>
      </c>
      <c r="G31" s="24" t="n">
        <f aca="false">SUMIFS(Data!$D$2:$D$61,Data!$A$2:$A$61,$A31)/SUMIFS(Data!$C$2:$C$61,Data!$A$2:$A$61,$A31)</f>
        <v>0.354978354978355</v>
      </c>
    </row>
    <row r="32" customFormat="false" ht="15" hidden="false" customHeight="false" outlineLevel="0" collapsed="false">
      <c r="A32" s="28" t="n">
        <f aca="false">A16</f>
        <v>44256</v>
      </c>
      <c r="B32" s="24" t="n">
        <f aca="false">SUMIFS(Data!$D$2:$D$61,Data!$A$2:$A$61,$A32,Data!$B$2:$B$61,"1-10")/SUMIFS(Data!$C$2:$C$61,Data!$A$2:$A$61,$A32,Data!$B$2:$B$61,"1-10")</f>
        <v>0.422018348623853</v>
      </c>
      <c r="C32" s="24" t="n">
        <f aca="false">SUMIFS(Data!$D$2:$D$61,Data!$A$2:$A$61,$A32,Data!$B$2:$B$61,"11-50")/SUMIFS(Data!$C$2:$C$61,Data!$A$2:$A$61,$A32,Data!$B$2:$B$61,"11-50")</f>
        <v>0.429411764705882</v>
      </c>
      <c r="D32" s="24" t="n">
        <f aca="false">SUMIFS(Data!$D$2:$D$61,Data!$A$2:$A$61,$A32,Data!$B$2:$B$61,"51-100")/SUMIFS(Data!$C$2:$C$61,Data!$A$2:$A$61,$A32,Data!$B$2:$B$61,"51-100")</f>
        <v>0.398268398268398</v>
      </c>
      <c r="E32" s="24" t="n">
        <f aca="false">SUMIFS(Data!$D$2:$D$61,Data!$A$2:$A$61,$A32,Data!$B$2:$B$61,"101-500")/SUMIFS(Data!$C$2:$C$61,Data!$A$2:$A$61,$A32,Data!$B$2:$B$61,"101-500")</f>
        <v>0.3</v>
      </c>
      <c r="F32" s="24" t="n">
        <f aca="false">SUMIFS(Data!$D$2:$D$61,Data!$A$2:$A$61,$A32,Data!$B$2:$B$61,"501+")/SUMIFS(Data!$C$2:$C$61,Data!$A$2:$A$61,$A32,Data!$B$2:$B$61,"501+")</f>
        <v>0.190721649484536</v>
      </c>
      <c r="G32" s="24" t="n">
        <f aca="false">SUMIFS(Data!$D$2:$D$61,Data!$A$2:$A$61,$A32)/SUMIFS(Data!$C$2:$C$61,Data!$A$2:$A$61,$A32)</f>
        <v>0.330313014827018</v>
      </c>
    </row>
    <row r="33" customFormat="false" ht="15" hidden="false" customHeight="false" outlineLevel="0" collapsed="false">
      <c r="A33" s="28" t="n">
        <f aca="false">A17</f>
        <v>44287</v>
      </c>
      <c r="B33" s="24" t="n">
        <f aca="false">SUMIFS(Data!$D$2:$D$61,Data!$A$2:$A$61,$A33,Data!$B$2:$B$61,"1-10")/SUMIFS(Data!$C$2:$C$61,Data!$A$2:$A$61,$A33,Data!$B$2:$B$61,"1-10")</f>
        <v>0.401515151515152</v>
      </c>
      <c r="C33" s="24" t="n">
        <f aca="false">SUMIFS(Data!$D$2:$D$61,Data!$A$2:$A$61,$A33,Data!$B$2:$B$61,"11-50")/SUMIFS(Data!$C$2:$C$61,Data!$A$2:$A$61,$A33,Data!$B$2:$B$61,"11-50")</f>
        <v>0.401015228426396</v>
      </c>
      <c r="D33" s="24" t="n">
        <f aca="false">SUMIFS(Data!$D$2:$D$61,Data!$A$2:$A$61,$A33,Data!$B$2:$B$61,"51-100")/SUMIFS(Data!$C$2:$C$61,Data!$A$2:$A$61,$A33,Data!$B$2:$B$61,"51-100")</f>
        <v>0.40084388185654</v>
      </c>
      <c r="E33" s="24" t="n">
        <f aca="false">SUMIFS(Data!$D$2:$D$61,Data!$A$2:$A$61,$A33,Data!$B$2:$B$61,"101-500")/SUMIFS(Data!$C$2:$C$61,Data!$A$2:$A$61,$A33,Data!$B$2:$B$61,"101-500")</f>
        <v>0.280148423005566</v>
      </c>
      <c r="F33" s="24" t="n">
        <f aca="false">SUMIFS(Data!$D$2:$D$61,Data!$A$2:$A$61,$A33,Data!$B$2:$B$61,"501+")/SUMIFS(Data!$C$2:$C$61,Data!$A$2:$A$61,$A33,Data!$B$2:$B$61,"501+")</f>
        <v>0.180952380952381</v>
      </c>
      <c r="G33" s="24" t="n">
        <f aca="false">SUMIFS(Data!$D$2:$D$61,Data!$A$2:$A$61,$A33)/SUMIFS(Data!$C$2:$C$61,Data!$A$2:$A$61,$A33)</f>
        <v>0.316349809885932</v>
      </c>
    </row>
    <row r="34" customFormat="false" ht="15" hidden="false" customHeight="false" outlineLevel="0" collapsed="false">
      <c r="A34" s="28" t="n">
        <f aca="false">A18</f>
        <v>44317</v>
      </c>
      <c r="B34" s="24" t="n">
        <f aca="false">SUMIFS(Data!$D$2:$D$61,Data!$A$2:$A$61,$A34,Data!$B$2:$B$61,"1-10")/SUMIFS(Data!$C$2:$C$61,Data!$A$2:$A$61,$A34,Data!$B$2:$B$61,"1-10")</f>
        <v>0.375</v>
      </c>
      <c r="C34" s="24" t="n">
        <f aca="false">SUMIFS(Data!$D$2:$D$61,Data!$A$2:$A$61,$A34,Data!$B$2:$B$61,"11-50")/SUMIFS(Data!$C$2:$C$61,Data!$A$2:$A$61,$A34,Data!$B$2:$B$61,"11-50")</f>
        <v>0.39010989010989</v>
      </c>
      <c r="D34" s="24" t="n">
        <f aca="false">SUMIFS(Data!$D$2:$D$61,Data!$A$2:$A$61,$A34,Data!$B$2:$B$61,"51-100")/SUMIFS(Data!$C$2:$C$61,Data!$A$2:$A$61,$A34,Data!$B$2:$B$61,"51-100")</f>
        <v>0.390977443609023</v>
      </c>
      <c r="E34" s="24" t="n">
        <f aca="false">SUMIFS(Data!$D$2:$D$61,Data!$A$2:$A$61,$A34,Data!$B$2:$B$61,"101-500")/SUMIFS(Data!$C$2:$C$61,Data!$A$2:$A$61,$A34,Data!$B$2:$B$61,"101-500")</f>
        <v>0.270125223613596</v>
      </c>
      <c r="F34" s="24" t="n">
        <f aca="false">SUMIFS(Data!$D$2:$D$61,Data!$A$2:$A$61,$A34,Data!$B$2:$B$61,"501+")/SUMIFS(Data!$C$2:$C$61,Data!$A$2:$A$61,$A34,Data!$B$2:$B$61,"501+")</f>
        <v>0.2</v>
      </c>
      <c r="G34" s="24" t="n">
        <f aca="false">SUMIFS(Data!$D$2:$D$61,Data!$A$2:$A$61,$A34)/SUMIFS(Data!$C$2:$C$61,Data!$A$2:$A$61,$A34)</f>
        <v>0.303073624017155</v>
      </c>
    </row>
    <row r="35" customFormat="false" ht="15" hidden="false" customHeight="false" outlineLevel="0" collapsed="false">
      <c r="A35" s="28" t="n">
        <f aca="false">A19</f>
        <v>44348</v>
      </c>
      <c r="B35" s="24" t="n">
        <f aca="false">SUMIFS(Data!$D$2:$D$61,Data!$A$2:$A$61,$A35,Data!$B$2:$B$61,"1-10")/SUMIFS(Data!$C$2:$C$61,Data!$A$2:$A$61,$A35,Data!$B$2:$B$61,"1-10")</f>
        <v>0.366336633663366</v>
      </c>
      <c r="C35" s="24" t="n">
        <f aca="false">SUMIFS(Data!$D$2:$D$61,Data!$A$2:$A$61,$A35,Data!$B$2:$B$61,"11-50")/SUMIFS(Data!$C$2:$C$61,Data!$A$2:$A$61,$A35,Data!$B$2:$B$61,"11-50")</f>
        <v>0.368663594470046</v>
      </c>
      <c r="D35" s="24" t="n">
        <f aca="false">SUMIFS(Data!$D$2:$D$61,Data!$A$2:$A$61,$A35,Data!$B$2:$B$61,"51-100")/SUMIFS(Data!$C$2:$C$61,Data!$A$2:$A$61,$A35,Data!$B$2:$B$61,"51-100")</f>
        <v>0.370242214532872</v>
      </c>
      <c r="E35" s="24" t="n">
        <f aca="false">SUMIFS(Data!$D$2:$D$61,Data!$A$2:$A$61,$A35,Data!$B$2:$B$61,"101-500")/SUMIFS(Data!$C$2:$C$61,Data!$A$2:$A$61,$A35,Data!$B$2:$B$61,"101-500")</f>
        <v>0.25044404973357</v>
      </c>
      <c r="F35" s="24" t="n">
        <f aca="false">SUMIFS(Data!$D$2:$D$61,Data!$A$2:$A$61,$A35,Data!$B$2:$B$61,"501+")/SUMIFS(Data!$C$2:$C$61,Data!$A$2:$A$61,$A35,Data!$B$2:$B$61,"501+")</f>
        <v>0.211678832116788</v>
      </c>
      <c r="G35" s="24" t="n">
        <f aca="false">SUMIFS(Data!$D$2:$D$61,Data!$A$2:$A$61,$A35)/SUMIFS(Data!$C$2:$C$61,Data!$A$2:$A$61,$A35)</f>
        <v>0.292936288088643</v>
      </c>
    </row>
    <row r="36" customFormat="false" ht="15" hidden="false" customHeight="false" outlineLevel="0" collapsed="false">
      <c r="A36" s="28" t="n">
        <f aca="false">A20</f>
        <v>44378</v>
      </c>
      <c r="B36" s="24" t="n">
        <f aca="false">SUMIFS(Data!$D$2:$D$61,Data!$A$2:$A$61,$A36,Data!$B$2:$B$61,"1-10")/SUMIFS(Data!$C$2:$C$61,Data!$A$2:$A$61,$A36,Data!$B$2:$B$61,"1-10")</f>
        <v>0.357798165137615</v>
      </c>
      <c r="C36" s="24" t="n">
        <f aca="false">SUMIFS(Data!$D$2:$D$61,Data!$A$2:$A$61,$A36,Data!$B$2:$B$61,"11-50")/SUMIFS(Data!$C$2:$C$61,Data!$A$2:$A$61,$A36,Data!$B$2:$B$61,"11-50")</f>
        <v>0.36</v>
      </c>
      <c r="D36" s="24" t="n">
        <f aca="false">SUMIFS(Data!$D$2:$D$61,Data!$A$2:$A$61,$A36,Data!$B$2:$B$61,"51-100")/SUMIFS(Data!$C$2:$C$61,Data!$A$2:$A$61,$A36,Data!$B$2:$B$61,"51-100")</f>
        <v>0.368589743589744</v>
      </c>
      <c r="E36" s="24" t="n">
        <f aca="false">SUMIFS(Data!$D$2:$D$61,Data!$A$2:$A$61,$A36,Data!$B$2:$B$61,"101-500")/SUMIFS(Data!$C$2:$C$61,Data!$A$2:$A$61,$A36,Data!$B$2:$B$61,"101-500")</f>
        <v>0.25</v>
      </c>
      <c r="F36" s="24" t="n">
        <f aca="false">SUMIFS(Data!$D$2:$D$61,Data!$A$2:$A$61,$A36,Data!$B$2:$B$61,"501+")/SUMIFS(Data!$C$2:$C$61,Data!$A$2:$A$61,$A36,Data!$B$2:$B$61,"501+")</f>
        <v>0.188679245283019</v>
      </c>
      <c r="G36" s="24" t="n">
        <f aca="false">SUMIFS(Data!$D$2:$D$61,Data!$A$2:$A$61,$A36)/SUMIFS(Data!$C$2:$C$61,Data!$A$2:$A$61,$A36)</f>
        <v>0.288461538461538</v>
      </c>
    </row>
    <row r="37" customFormat="false" ht="15" hidden="false" customHeight="false" outlineLevel="0" collapsed="false">
      <c r="A37" s="28" t="n">
        <f aca="false">A21</f>
        <v>44409</v>
      </c>
      <c r="B37" s="24" t="n">
        <f aca="false">SUMIFS(Data!$D$2:$D$61,Data!$A$2:$A$61,$A37,Data!$B$2:$B$61,"1-10")/SUMIFS(Data!$C$2:$C$61,Data!$A$2:$A$61,$A37,Data!$B$2:$B$61,"1-10")</f>
        <v>0.325</v>
      </c>
      <c r="C37" s="24" t="n">
        <f aca="false">SUMIFS(Data!$D$2:$D$61,Data!$A$2:$A$61,$A37,Data!$B$2:$B$61,"11-50")/SUMIFS(Data!$C$2:$C$61,Data!$A$2:$A$61,$A37,Data!$B$2:$B$61,"11-50")</f>
        <v>0.358974358974359</v>
      </c>
      <c r="D37" s="24" t="n">
        <f aca="false">SUMIFS(Data!$D$2:$D$61,Data!$A$2:$A$61,$A37,Data!$B$2:$B$61,"51-100")/SUMIFS(Data!$C$2:$C$61,Data!$A$2:$A$61,$A37,Data!$B$2:$B$61,"51-100")</f>
        <v>0.350819672131148</v>
      </c>
      <c r="E37" s="24" t="n">
        <f aca="false">SUMIFS(Data!$D$2:$D$61,Data!$A$2:$A$61,$A37,Data!$B$2:$B$61,"101-500")/SUMIFS(Data!$C$2:$C$61,Data!$A$2:$A$61,$A37,Data!$B$2:$B$61,"101-500")</f>
        <v>0.259878419452888</v>
      </c>
      <c r="F37" s="24" t="n">
        <f aca="false">SUMIFS(Data!$D$2:$D$61,Data!$A$2:$A$61,$A37,Data!$B$2:$B$61,"501+")/SUMIFS(Data!$C$2:$C$61,Data!$A$2:$A$61,$A37,Data!$B$2:$B$61,"501+")</f>
        <v>0.179930795847751</v>
      </c>
      <c r="G37" s="24" t="n">
        <f aca="false">SUMIFS(Data!$D$2:$D$61,Data!$A$2:$A$61,$A37)/SUMIFS(Data!$C$2:$C$61,Data!$A$2:$A$61,$A37)</f>
        <v>0.282866043613707</v>
      </c>
    </row>
    <row r="38" customFormat="false" ht="15" hidden="false" customHeight="false" outlineLevel="0" collapsed="false">
      <c r="A38" s="28" t="n">
        <f aca="false">A22</f>
        <v>44440</v>
      </c>
      <c r="B38" s="24" t="n">
        <f aca="false">SUMIFS(Data!$D$2:$D$61,Data!$A$2:$A$61,$A38,Data!$B$2:$B$61,"1-10")/SUMIFS(Data!$C$2:$C$61,Data!$A$2:$A$61,$A38,Data!$B$2:$B$61,"1-10")</f>
        <v>0.353535353535354</v>
      </c>
      <c r="C38" s="24" t="n">
        <f aca="false">SUMIFS(Data!$D$2:$D$61,Data!$A$2:$A$61,$A38,Data!$B$2:$B$61,"11-50")/SUMIFS(Data!$C$2:$C$61,Data!$A$2:$A$61,$A38,Data!$B$2:$B$61,"11-50")</f>
        <v>0.370967741935484</v>
      </c>
      <c r="D38" s="24" t="n">
        <f aca="false">SUMIFS(Data!$D$2:$D$61,Data!$A$2:$A$61,$A38,Data!$B$2:$B$61,"51-100")/SUMIFS(Data!$C$2:$C$61,Data!$A$2:$A$61,$A38,Data!$B$2:$B$61,"51-100")</f>
        <v>0.359430604982206</v>
      </c>
      <c r="E38" s="24" t="n">
        <f aca="false">SUMIFS(Data!$D$2:$D$61,Data!$A$2:$A$61,$A38,Data!$B$2:$B$61,"101-500")/SUMIFS(Data!$C$2:$C$61,Data!$A$2:$A$61,$A38,Data!$B$2:$B$61,"101-500")</f>
        <v>0.249630723781388</v>
      </c>
      <c r="F38" s="24" t="n">
        <f aca="false">SUMIFS(Data!$D$2:$D$61,Data!$A$2:$A$61,$A38,Data!$B$2:$B$61,"501+")/SUMIFS(Data!$C$2:$C$61,Data!$A$2:$A$61,$A38,Data!$B$2:$B$61,"501+")</f>
        <v>0.198847262247839</v>
      </c>
      <c r="G38" s="24" t="n">
        <f aca="false">SUMIFS(Data!$D$2:$D$61,Data!$A$2:$A$61,$A38)/SUMIFS(Data!$C$2:$C$61,Data!$A$2:$A$61,$A38)</f>
        <v>0.282082324455206</v>
      </c>
    </row>
    <row r="39" customFormat="false" ht="15" hidden="false" customHeight="false" outlineLevel="0" collapsed="false">
      <c r="A39" s="28" t="n">
        <f aca="false">A23</f>
        <v>44470</v>
      </c>
      <c r="B39" s="24" t="n">
        <f aca="false">SUMIFS(Data!$D$2:$D$61,Data!$A$2:$A$61,$A39,Data!$B$2:$B$61,"1-10")/SUMIFS(Data!$C$2:$C$61,Data!$A$2:$A$61,$A39,Data!$B$2:$B$61,"1-10")</f>
        <v>0.372340425531915</v>
      </c>
      <c r="C39" s="24" t="n">
        <f aca="false">SUMIFS(Data!$D$2:$D$61,Data!$A$2:$A$61,$A39,Data!$B$2:$B$61,"11-50")/SUMIFS(Data!$C$2:$C$61,Data!$A$2:$A$61,$A39,Data!$B$2:$B$61,"11-50")</f>
        <v>0.361216730038023</v>
      </c>
      <c r="D39" s="24" t="n">
        <f aca="false">SUMIFS(Data!$D$2:$D$61,Data!$A$2:$A$61,$A39,Data!$B$2:$B$61,"51-100")/SUMIFS(Data!$C$2:$C$61,Data!$A$2:$A$61,$A39,Data!$B$2:$B$61,"51-100")</f>
        <v>0.349112426035503</v>
      </c>
      <c r="E39" s="24" t="n">
        <f aca="false">SUMIFS(Data!$D$2:$D$61,Data!$A$2:$A$61,$A39,Data!$B$2:$B$61,"101-500")/SUMIFS(Data!$C$2:$C$61,Data!$A$2:$A$61,$A39,Data!$B$2:$B$61,"101-500")</f>
        <v>0.260152284263959</v>
      </c>
      <c r="F39" s="24" t="n">
        <f aca="false">SUMIFS(Data!$D$2:$D$61,Data!$A$2:$A$61,$A39,Data!$B$2:$B$61,"501+")/SUMIFS(Data!$C$2:$C$61,Data!$A$2:$A$61,$A39,Data!$B$2:$B$61,"501+")</f>
        <v>0.190355329949239</v>
      </c>
      <c r="G39" s="24" t="n">
        <f aca="false">SUMIFS(Data!$D$2:$D$61,Data!$A$2:$A$61,$A39)/SUMIFS(Data!$C$2:$C$61,Data!$A$2:$A$61,$A39)</f>
        <v>0.281299946723495</v>
      </c>
    </row>
    <row r="40" customFormat="false" ht="15" hidden="false" customHeight="false" outlineLevel="0" collapsed="false">
      <c r="A40" s="28" t="n">
        <f aca="false">A24</f>
        <v>44501</v>
      </c>
      <c r="B40" s="24" t="n">
        <f aca="false">SUMIFS(Data!$D$2:$D$61,Data!$A$2:$A$61,$A40,Data!$B$2:$B$61,"1-10")/SUMIFS(Data!$C$2:$C$61,Data!$A$2:$A$61,$A40,Data!$B$2:$B$61,"1-10")</f>
        <v>0.283333333333333</v>
      </c>
      <c r="C40" s="24" t="n">
        <f aca="false">SUMIFS(Data!$D$2:$D$61,Data!$A$2:$A$61,$A40,Data!$B$2:$B$61,"11-50")/SUMIFS(Data!$C$2:$C$61,Data!$A$2:$A$61,$A40,Data!$B$2:$B$61,"11-50")</f>
        <v>0.292307692307692</v>
      </c>
      <c r="D40" s="24" t="n">
        <f aca="false">SUMIFS(Data!$D$2:$D$61,Data!$A$2:$A$61,$A40,Data!$B$2:$B$61,"51-100")/SUMIFS(Data!$C$2:$C$61,Data!$A$2:$A$61,$A40,Data!$B$2:$B$61,"51-100")</f>
        <v>0.283333333333333</v>
      </c>
      <c r="E40" s="24" t="n">
        <f aca="false">SUMIFS(Data!$D$2:$D$61,Data!$A$2:$A$61,$A40,Data!$B$2:$B$61,"101-500")/SUMIFS(Data!$C$2:$C$61,Data!$A$2:$A$61,$A40,Data!$B$2:$B$61,"101-500")</f>
        <v>0.219451371571072</v>
      </c>
      <c r="F40" s="24" t="n">
        <f aca="false">SUMIFS(Data!$D$2:$D$61,Data!$A$2:$A$61,$A40,Data!$B$2:$B$61,"501+")/SUMIFS(Data!$C$2:$C$61,Data!$A$2:$A$61,$A40,Data!$B$2:$B$61,"501+")</f>
        <v>0.152173913043478</v>
      </c>
      <c r="G40" s="24" t="n">
        <f aca="false">SUMIFS(Data!$D$2:$D$61,Data!$A$2:$A$61,$A40)/SUMIFS(Data!$C$2:$C$61,Data!$A$2:$A$61,$A40)</f>
        <v>0.228771228771229</v>
      </c>
    </row>
    <row r="41" customFormat="false" ht="15" hidden="false" customHeight="false" outlineLevel="0" collapsed="false">
      <c r="A41" s="28" t="n">
        <f aca="false">A25</f>
        <v>44531</v>
      </c>
      <c r="B41" s="24" t="n">
        <f aca="false">SUMIFS(Data!$D$2:$D$61,Data!$A$2:$A$61,$A41,Data!$B$2:$B$61,"1-10")/SUMIFS(Data!$C$2:$C$61,Data!$A$2:$A$61,$A41,Data!$B$2:$B$61,"1-10")</f>
        <v>0.262295081967213</v>
      </c>
      <c r="C41" s="24" t="n">
        <f aca="false">SUMIFS(Data!$D$2:$D$61,Data!$A$2:$A$61,$A41,Data!$B$2:$B$61,"11-50")/SUMIFS(Data!$C$2:$C$61,Data!$A$2:$A$61,$A41,Data!$B$2:$B$61,"11-50")</f>
        <v>0.253521126760563</v>
      </c>
      <c r="D41" s="24" t="n">
        <f aca="false">SUMIFS(Data!$D$2:$D$61,Data!$A$2:$A$61,$A41,Data!$B$2:$B$61,"51-100")/SUMIFS(Data!$C$2:$C$61,Data!$A$2:$A$61,$A41,Data!$B$2:$B$61,"51-100")</f>
        <v>0.238341968911917</v>
      </c>
      <c r="E41" s="24" t="n">
        <f aca="false">SUMIFS(Data!$D$2:$D$61,Data!$A$2:$A$61,$A41,Data!$B$2:$B$61,"101-500")/SUMIFS(Data!$C$2:$C$61,Data!$A$2:$A$61,$A41,Data!$B$2:$B$61,"101-500")</f>
        <v>0.20959595959596</v>
      </c>
      <c r="F41" s="24" t="n">
        <f aca="false">SUMIFS(Data!$D$2:$D$61,Data!$A$2:$A$61,$A41,Data!$B$2:$B$61,"501+")/SUMIFS(Data!$C$2:$C$61,Data!$A$2:$A$61,$A41,Data!$B$2:$B$61,"501+")</f>
        <v>0.139013452914798</v>
      </c>
      <c r="G41" s="24" t="n">
        <f aca="false">SUMIFS(Data!$D$2:$D$61,Data!$A$2:$A$61,$A41)/SUMIFS(Data!$C$2:$C$61,Data!$A$2:$A$61,$A41)</f>
        <v>0.208866995073892</v>
      </c>
    </row>
    <row r="42" customFormat="false" ht="15" hidden="false" customHeight="false" outlineLevel="0" collapsed="false">
      <c r="A42" s="28" t="n">
        <f aca="false">A26</f>
        <v>44562</v>
      </c>
      <c r="B42" s="24" t="n">
        <f aca="false">SUMIFS(Data!$D$2:$D$61,Data!$A$2:$A$61,$A42,Data!$B$2:$B$61,"1-10")/SUMIFS(Data!$C$2:$C$61,Data!$A$2:$A$61,$A42,Data!$B$2:$B$61,"1-10")</f>
        <v>0.375</v>
      </c>
      <c r="C42" s="24" t="n">
        <f aca="false">SUMIFS(Data!$D$2:$D$61,Data!$A$2:$A$61,$A42,Data!$B$2:$B$61,"11-50")/SUMIFS(Data!$C$2:$C$61,Data!$A$2:$A$61,$A42,Data!$B$2:$B$61,"11-50")</f>
        <v>0.369477911646586</v>
      </c>
      <c r="D42" s="24" t="n">
        <f aca="false">SUMIFS(Data!$D$2:$D$61,Data!$A$2:$A$61,$A42,Data!$B$2:$B$61,"51-100")/SUMIFS(Data!$C$2:$C$61,Data!$A$2:$A$61,$A42,Data!$B$2:$B$61,"51-100")</f>
        <v>0.339425587467363</v>
      </c>
      <c r="E42" s="24" t="n">
        <f aca="false">SUMIFS(Data!$D$2:$D$61,Data!$A$2:$A$61,$A42,Data!$B$2:$B$61,"101-500")/SUMIFS(Data!$C$2:$C$61,Data!$A$2:$A$61,$A42,Data!$B$2:$B$61,"101-500")</f>
        <v>0.24968152866242</v>
      </c>
      <c r="F42" s="24" t="n">
        <f aca="false">SUMIFS(Data!$D$2:$D$61,Data!$A$2:$A$61,$A42,Data!$B$2:$B$61,"501+")/SUMIFS(Data!$C$2:$C$61,Data!$A$2:$A$61,$A42,Data!$B$2:$B$61,"501+")</f>
        <v>0.208955223880597</v>
      </c>
      <c r="G42" s="24" t="n">
        <f aca="false">SUMIFS(Data!$D$2:$D$61,Data!$A$2:$A$61,$A42)/SUMIFS(Data!$C$2:$C$61,Data!$A$2:$A$61,$A42)</f>
        <v>0.280939947780679</v>
      </c>
    </row>
    <row r="44" customFormat="false" ht="15" hidden="false" customHeight="false" outlineLevel="0" collapsed="false">
      <c r="A44" s="8" t="s">
        <v>198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customFormat="false" ht="30" hidden="false" customHeight="true" outlineLevel="0" collapsed="false">
      <c r="A45" s="18" t="s">
        <v>142</v>
      </c>
      <c r="B45" s="18" t="s">
        <v>158</v>
      </c>
      <c r="C45" s="18" t="s">
        <v>159</v>
      </c>
      <c r="D45" s="18" t="s">
        <v>160</v>
      </c>
      <c r="E45" s="18" t="s">
        <v>161</v>
      </c>
      <c r="F45" s="18" t="s">
        <v>162</v>
      </c>
      <c r="G45" s="18" t="s">
        <v>194</v>
      </c>
    </row>
    <row r="46" customFormat="false" ht="15" hidden="false" customHeight="false" outlineLevel="0" collapsed="false">
      <c r="A46" s="28" t="n">
        <f aca="false">A15</f>
        <v>44228</v>
      </c>
      <c r="B46" s="22" t="n">
        <f aca="false">SUMIFS(Data!$C$2:$C$61,Data!$A$2:$A$61,$A46,Data!$B$2:$B$61,"1-10")</f>
        <v>127</v>
      </c>
      <c r="C46" s="22" t="n">
        <f aca="false">SUMIFS(Data!$C$2:$C$61,Data!$A$2:$A$61,$A46,Data!$B$2:$B$61,"11-50")</f>
        <v>208</v>
      </c>
      <c r="D46" s="22" t="n">
        <f aca="false">SUMIFS(Data!$C$2:$C$61,Data!$A$2:$A$61,$A46,Data!$B$2:$B$61,"51-100")</f>
        <v>231</v>
      </c>
      <c r="E46" s="22" t="n">
        <f aca="false">SUMIFS(Data!$C$2:$C$61,Data!$A$2:$A$61,$A46,Data!$B$2:$B$61,"101-500")</f>
        <v>462</v>
      </c>
      <c r="F46" s="22" t="n">
        <f aca="false">SUMIFS(Data!$C$2:$C$61,Data!$A$2:$A$61,$A46,Data!$B$2:$B$61,"501+")</f>
        <v>127</v>
      </c>
      <c r="G46" s="22" t="n">
        <f aca="false">SUMIFS(Data!$C$2:$C$61,Data!$A$2:$A$61,$A46)</f>
        <v>1155</v>
      </c>
    </row>
    <row r="47" customFormat="false" ht="15" hidden="false" customHeight="false" outlineLevel="0" collapsed="false">
      <c r="A47" s="28" t="n">
        <f aca="false">A16</f>
        <v>44256</v>
      </c>
      <c r="B47" s="22" t="n">
        <f aca="false">SUMIFS(Data!$C$2:$C$61,Data!$A$2:$A$61,$A47,Data!$B$2:$B$61,"1-10")</f>
        <v>109</v>
      </c>
      <c r="C47" s="22" t="n">
        <f aca="false">SUMIFS(Data!$C$2:$C$61,Data!$A$2:$A$61,$A47,Data!$B$2:$B$61,"11-50")</f>
        <v>170</v>
      </c>
      <c r="D47" s="22" t="n">
        <f aca="false">SUMIFS(Data!$C$2:$C$61,Data!$A$2:$A$61,$A47,Data!$B$2:$B$61,"51-100")</f>
        <v>231</v>
      </c>
      <c r="E47" s="22" t="n">
        <f aca="false">SUMIFS(Data!$C$2:$C$61,Data!$A$2:$A$61,$A47,Data!$B$2:$B$61,"101-500")</f>
        <v>510</v>
      </c>
      <c r="F47" s="22" t="n">
        <f aca="false">SUMIFS(Data!$C$2:$C$61,Data!$A$2:$A$61,$A47,Data!$B$2:$B$61,"501+")</f>
        <v>194</v>
      </c>
      <c r="G47" s="22" t="n">
        <f aca="false">SUMIFS(Data!$C$2:$C$61,Data!$A$2:$A$61,$A47)</f>
        <v>1214</v>
      </c>
    </row>
    <row r="48" customFormat="false" ht="15" hidden="false" customHeight="false" outlineLevel="0" collapsed="false">
      <c r="A48" s="28" t="n">
        <f aca="false">A17</f>
        <v>44287</v>
      </c>
      <c r="B48" s="22" t="n">
        <f aca="false">SUMIFS(Data!$C$2:$C$61,Data!$A$2:$A$61,$A48,Data!$B$2:$B$61,"1-10")</f>
        <v>132</v>
      </c>
      <c r="C48" s="22" t="n">
        <f aca="false">SUMIFS(Data!$C$2:$C$61,Data!$A$2:$A$61,$A48,Data!$B$2:$B$61,"11-50")</f>
        <v>197</v>
      </c>
      <c r="D48" s="22" t="n">
        <f aca="false">SUMIFS(Data!$C$2:$C$61,Data!$A$2:$A$61,$A48,Data!$B$2:$B$61,"51-100")</f>
        <v>237</v>
      </c>
      <c r="E48" s="22" t="n">
        <f aca="false">SUMIFS(Data!$C$2:$C$61,Data!$A$2:$A$61,$A48,Data!$B$2:$B$61,"101-500")</f>
        <v>539</v>
      </c>
      <c r="F48" s="22" t="n">
        <f aca="false">SUMIFS(Data!$C$2:$C$61,Data!$A$2:$A$61,$A48,Data!$B$2:$B$61,"501+")</f>
        <v>210</v>
      </c>
      <c r="G48" s="22" t="n">
        <f aca="false">SUMIFS(Data!$C$2:$C$61,Data!$A$2:$A$61,$A48)</f>
        <v>1315</v>
      </c>
    </row>
    <row r="49" customFormat="false" ht="15" hidden="false" customHeight="false" outlineLevel="0" collapsed="false">
      <c r="A49" s="28" t="n">
        <f aca="false">A18</f>
        <v>44317</v>
      </c>
      <c r="B49" s="22" t="n">
        <f aca="false">SUMIFS(Data!$C$2:$C$61,Data!$A$2:$A$61,$A49,Data!$B$2:$B$61,"1-10")</f>
        <v>112</v>
      </c>
      <c r="C49" s="22" t="n">
        <f aca="false">SUMIFS(Data!$C$2:$C$61,Data!$A$2:$A$61,$A49,Data!$B$2:$B$61,"11-50")</f>
        <v>182</v>
      </c>
      <c r="D49" s="22" t="n">
        <f aca="false">SUMIFS(Data!$C$2:$C$61,Data!$A$2:$A$61,$A49,Data!$B$2:$B$61,"51-100")</f>
        <v>266</v>
      </c>
      <c r="E49" s="22" t="n">
        <f aca="false">SUMIFS(Data!$C$2:$C$61,Data!$A$2:$A$61,$A49,Data!$B$2:$B$61,"101-500")</f>
        <v>559</v>
      </c>
      <c r="F49" s="22" t="n">
        <f aca="false">SUMIFS(Data!$C$2:$C$61,Data!$A$2:$A$61,$A49,Data!$B$2:$B$61,"501+")</f>
        <v>280</v>
      </c>
      <c r="G49" s="22" t="n">
        <f aca="false">SUMIFS(Data!$C$2:$C$61,Data!$A$2:$A$61,$A49)</f>
        <v>1399</v>
      </c>
    </row>
    <row r="50" customFormat="false" ht="15" hidden="false" customHeight="false" outlineLevel="0" collapsed="false">
      <c r="A50" s="28" t="n">
        <f aca="false">A19</f>
        <v>44348</v>
      </c>
      <c r="B50" s="22" t="n">
        <f aca="false">SUMIFS(Data!$C$2:$C$61,Data!$A$2:$A$61,$A50,Data!$B$2:$B$61,"1-10")</f>
        <v>101</v>
      </c>
      <c r="C50" s="22" t="n">
        <f aca="false">SUMIFS(Data!$C$2:$C$61,Data!$A$2:$A$61,$A50,Data!$B$2:$B$61,"11-50")</f>
        <v>217</v>
      </c>
      <c r="D50" s="22" t="n">
        <f aca="false">SUMIFS(Data!$C$2:$C$61,Data!$A$2:$A$61,$A50,Data!$B$2:$B$61,"51-100")</f>
        <v>289</v>
      </c>
      <c r="E50" s="22" t="n">
        <f aca="false">SUMIFS(Data!$C$2:$C$61,Data!$A$2:$A$61,$A50,Data!$B$2:$B$61,"101-500")</f>
        <v>563</v>
      </c>
      <c r="F50" s="22" t="n">
        <f aca="false">SUMIFS(Data!$C$2:$C$61,Data!$A$2:$A$61,$A50,Data!$B$2:$B$61,"501+")</f>
        <v>274</v>
      </c>
      <c r="G50" s="22" t="n">
        <f aca="false">SUMIFS(Data!$C$2:$C$61,Data!$A$2:$A$61,$A50)</f>
        <v>1444</v>
      </c>
    </row>
    <row r="51" customFormat="false" ht="15" hidden="false" customHeight="false" outlineLevel="0" collapsed="false">
      <c r="A51" s="28" t="n">
        <f aca="false">A20</f>
        <v>44378</v>
      </c>
      <c r="B51" s="22" t="n">
        <f aca="false">SUMIFS(Data!$C$2:$C$61,Data!$A$2:$A$61,$A51,Data!$B$2:$B$61,"1-10")</f>
        <v>109</v>
      </c>
      <c r="C51" s="22" t="n">
        <f aca="false">SUMIFS(Data!$C$2:$C$61,Data!$A$2:$A$61,$A51,Data!$B$2:$B$61,"11-50")</f>
        <v>250</v>
      </c>
      <c r="D51" s="22" t="n">
        <f aca="false">SUMIFS(Data!$C$2:$C$61,Data!$A$2:$A$61,$A51,Data!$B$2:$B$61,"51-100")</f>
        <v>312</v>
      </c>
      <c r="E51" s="22" t="n">
        <f aca="false">SUMIFS(Data!$C$2:$C$61,Data!$A$2:$A$61,$A51,Data!$B$2:$B$61,"101-500")</f>
        <v>624</v>
      </c>
      <c r="F51" s="22" t="n">
        <f aca="false">SUMIFS(Data!$C$2:$C$61,Data!$A$2:$A$61,$A51,Data!$B$2:$B$61,"501+")</f>
        <v>265</v>
      </c>
      <c r="G51" s="22" t="n">
        <f aca="false">SUMIFS(Data!$C$2:$C$61,Data!$A$2:$A$61,$A51)</f>
        <v>1560</v>
      </c>
    </row>
    <row r="52" customFormat="false" ht="15" hidden="false" customHeight="false" outlineLevel="0" collapsed="false">
      <c r="A52" s="28" t="n">
        <f aca="false">A21</f>
        <v>44409</v>
      </c>
      <c r="B52" s="22" t="n">
        <f aca="false">SUMIFS(Data!$C$2:$C$61,Data!$A$2:$A$61,$A52,Data!$B$2:$B$61,"1-10")</f>
        <v>80</v>
      </c>
      <c r="C52" s="22" t="n">
        <f aca="false">SUMIFS(Data!$C$2:$C$61,Data!$A$2:$A$61,$A52,Data!$B$2:$B$61,"11-50")</f>
        <v>273</v>
      </c>
      <c r="D52" s="22" t="n">
        <f aca="false">SUMIFS(Data!$C$2:$C$61,Data!$A$2:$A$61,$A52,Data!$B$2:$B$61,"51-100")</f>
        <v>305</v>
      </c>
      <c r="E52" s="22" t="n">
        <f aca="false">SUMIFS(Data!$C$2:$C$61,Data!$A$2:$A$61,$A52,Data!$B$2:$B$61,"101-500")</f>
        <v>658</v>
      </c>
      <c r="F52" s="22" t="n">
        <f aca="false">SUMIFS(Data!$C$2:$C$61,Data!$A$2:$A$61,$A52,Data!$B$2:$B$61,"501+")</f>
        <v>289</v>
      </c>
      <c r="G52" s="22" t="n">
        <f aca="false">SUMIFS(Data!$C$2:$C$61,Data!$A$2:$A$61,$A52)</f>
        <v>1605</v>
      </c>
    </row>
    <row r="53" customFormat="false" ht="15" hidden="false" customHeight="false" outlineLevel="0" collapsed="false">
      <c r="A53" s="28" t="n">
        <f aca="false">A22</f>
        <v>44440</v>
      </c>
      <c r="B53" s="22" t="n">
        <f aca="false">SUMIFS(Data!$C$2:$C$61,Data!$A$2:$A$61,$A53,Data!$B$2:$B$61,"1-10")</f>
        <v>99</v>
      </c>
      <c r="C53" s="22" t="n">
        <f aca="false">SUMIFS(Data!$C$2:$C$61,Data!$A$2:$A$61,$A53,Data!$B$2:$B$61,"11-50")</f>
        <v>248</v>
      </c>
      <c r="D53" s="22" t="n">
        <f aca="false">SUMIFS(Data!$C$2:$C$61,Data!$A$2:$A$61,$A53,Data!$B$2:$B$61,"51-100")</f>
        <v>281</v>
      </c>
      <c r="E53" s="22" t="n">
        <f aca="false">SUMIFS(Data!$C$2:$C$61,Data!$A$2:$A$61,$A53,Data!$B$2:$B$61,"101-500")</f>
        <v>677</v>
      </c>
      <c r="F53" s="22" t="n">
        <f aca="false">SUMIFS(Data!$C$2:$C$61,Data!$A$2:$A$61,$A53,Data!$B$2:$B$61,"501+")</f>
        <v>347</v>
      </c>
      <c r="G53" s="22" t="n">
        <f aca="false">SUMIFS(Data!$C$2:$C$61,Data!$A$2:$A$61,$A53)</f>
        <v>1652</v>
      </c>
    </row>
    <row r="54" customFormat="false" ht="15" hidden="false" customHeight="false" outlineLevel="0" collapsed="false">
      <c r="A54" s="28" t="n">
        <f aca="false">A23</f>
        <v>44470</v>
      </c>
      <c r="B54" s="22" t="n">
        <f aca="false">SUMIFS(Data!$C$2:$C$61,Data!$A$2:$A$61,$A54,Data!$B$2:$B$61,"1-10")</f>
        <v>94</v>
      </c>
      <c r="C54" s="22" t="n">
        <f aca="false">SUMIFS(Data!$C$2:$C$61,Data!$A$2:$A$61,$A54,Data!$B$2:$B$61,"11-50")</f>
        <v>263</v>
      </c>
      <c r="D54" s="22" t="n">
        <f aca="false">SUMIFS(Data!$C$2:$C$61,Data!$A$2:$A$61,$A54,Data!$B$2:$B$61,"51-100")</f>
        <v>338</v>
      </c>
      <c r="E54" s="22" t="n">
        <f aca="false">SUMIFS(Data!$C$2:$C$61,Data!$A$2:$A$61,$A54,Data!$B$2:$B$61,"101-500")</f>
        <v>788</v>
      </c>
      <c r="F54" s="22" t="n">
        <f aca="false">SUMIFS(Data!$C$2:$C$61,Data!$A$2:$A$61,$A54,Data!$B$2:$B$61,"501+")</f>
        <v>394</v>
      </c>
      <c r="G54" s="22" t="n">
        <f aca="false">SUMIFS(Data!$C$2:$C$61,Data!$A$2:$A$61,$A54)</f>
        <v>1877</v>
      </c>
    </row>
    <row r="55" customFormat="false" ht="15" hidden="false" customHeight="false" outlineLevel="0" collapsed="false">
      <c r="A55" s="28" t="n">
        <f aca="false">A24</f>
        <v>44501</v>
      </c>
      <c r="B55" s="22" t="n">
        <f aca="false">SUMIFS(Data!$C$2:$C$61,Data!$A$2:$A$61,$A55,Data!$B$2:$B$61,"1-10")</f>
        <v>60</v>
      </c>
      <c r="C55" s="22" t="n">
        <f aca="false">SUMIFS(Data!$C$2:$C$61,Data!$A$2:$A$61,$A55,Data!$B$2:$B$61,"11-50")</f>
        <v>130</v>
      </c>
      <c r="D55" s="22" t="n">
        <f aca="false">SUMIFS(Data!$C$2:$C$61,Data!$A$2:$A$61,$A55,Data!$B$2:$B$61,"51-100")</f>
        <v>180</v>
      </c>
      <c r="E55" s="22" t="n">
        <f aca="false">SUMIFS(Data!$C$2:$C$61,Data!$A$2:$A$61,$A55,Data!$B$2:$B$61,"101-500")</f>
        <v>401</v>
      </c>
      <c r="F55" s="22" t="n">
        <f aca="false">SUMIFS(Data!$C$2:$C$61,Data!$A$2:$A$61,$A55,Data!$B$2:$B$61,"501+")</f>
        <v>230</v>
      </c>
      <c r="G55" s="22" t="n">
        <f aca="false">SUMIFS(Data!$C$2:$C$61,Data!$A$2:$A$61,$A55)</f>
        <v>1001</v>
      </c>
    </row>
    <row r="56" customFormat="false" ht="15" hidden="false" customHeight="false" outlineLevel="0" collapsed="false">
      <c r="A56" s="28" t="n">
        <f aca="false">A25</f>
        <v>44531</v>
      </c>
      <c r="B56" s="22" t="n">
        <f aca="false">SUMIFS(Data!$C$2:$C$61,Data!$A$2:$A$61,$A56,Data!$B$2:$B$61,"1-10")</f>
        <v>61</v>
      </c>
      <c r="C56" s="22" t="n">
        <f aca="false">SUMIFS(Data!$C$2:$C$61,Data!$A$2:$A$61,$A56,Data!$B$2:$B$61,"11-50")</f>
        <v>142</v>
      </c>
      <c r="D56" s="22" t="n">
        <f aca="false">SUMIFS(Data!$C$2:$C$61,Data!$A$2:$A$61,$A56,Data!$B$2:$B$61,"51-100")</f>
        <v>193</v>
      </c>
      <c r="E56" s="22" t="n">
        <f aca="false">SUMIFS(Data!$C$2:$C$61,Data!$A$2:$A$61,$A56,Data!$B$2:$B$61,"101-500")</f>
        <v>396</v>
      </c>
      <c r="F56" s="22" t="n">
        <f aca="false">SUMIFS(Data!$C$2:$C$61,Data!$A$2:$A$61,$A56,Data!$B$2:$B$61,"501+")</f>
        <v>223</v>
      </c>
      <c r="G56" s="22" t="n">
        <f aca="false">SUMIFS(Data!$C$2:$C$61,Data!$A$2:$A$61,$A56)</f>
        <v>1015</v>
      </c>
    </row>
    <row r="57" customFormat="false" ht="15" hidden="false" customHeight="false" outlineLevel="0" collapsed="false">
      <c r="A57" s="28" t="n">
        <f aca="false">A26</f>
        <v>44562</v>
      </c>
      <c r="B57" s="22" t="n">
        <f aca="false">SUMIFS(Data!$C$2:$C$61,Data!$A$2:$A$61,$A57,Data!$B$2:$B$61,"1-10")</f>
        <v>96</v>
      </c>
      <c r="C57" s="22" t="n">
        <f aca="false">SUMIFS(Data!$C$2:$C$61,Data!$A$2:$A$61,$A57,Data!$B$2:$B$61,"11-50")</f>
        <v>249</v>
      </c>
      <c r="D57" s="22" t="n">
        <f aca="false">SUMIFS(Data!$C$2:$C$61,Data!$A$2:$A$61,$A57,Data!$B$2:$B$61,"51-100")</f>
        <v>383</v>
      </c>
      <c r="E57" s="22" t="n">
        <f aca="false">SUMIFS(Data!$C$2:$C$61,Data!$A$2:$A$61,$A57,Data!$B$2:$B$61,"101-500")</f>
        <v>785</v>
      </c>
      <c r="F57" s="22" t="n">
        <f aca="false">SUMIFS(Data!$C$2:$C$61,Data!$A$2:$A$61,$A57,Data!$B$2:$B$61,"501+")</f>
        <v>402</v>
      </c>
      <c r="G57" s="22" t="n">
        <f aca="false">SUMIFS(Data!$C$2:$C$61,Data!$A$2:$A$61,$A57)</f>
        <v>1915</v>
      </c>
    </row>
    <row r="59" customFormat="false" ht="15" hidden="false" customHeight="false" outlineLevel="0" collapsed="false">
      <c r="A59" s="8" t="s">
        <v>199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customFormat="false" ht="30" hidden="false" customHeight="true" outlineLevel="0" collapsed="false">
      <c r="A60" s="18" t="s">
        <v>142</v>
      </c>
      <c r="B60" s="18" t="s">
        <v>158</v>
      </c>
      <c r="C60" s="18" t="s">
        <v>159</v>
      </c>
      <c r="D60" s="18" t="s">
        <v>160</v>
      </c>
      <c r="E60" s="18" t="s">
        <v>161</v>
      </c>
      <c r="F60" s="18" t="s">
        <v>162</v>
      </c>
      <c r="G60" s="18" t="s">
        <v>194</v>
      </c>
    </row>
    <row r="61" customFormat="false" ht="15" hidden="false" customHeight="false" outlineLevel="0" collapsed="false">
      <c r="A61" s="28" t="n">
        <f aca="false">A15</f>
        <v>44228</v>
      </c>
      <c r="B61" s="24" t="n">
        <f aca="false">SUMIFS(Data!$F$2:$F$61,Data!$A$2:$A$61,$A61,Data!$B$2:$B$61,"1-10")/SUMIFS(Data!$E$2:$E$61,Data!$A$2:$A$61,$A61,Data!$B$2:$B$61,"1-10")</f>
        <v>0.325581395348837</v>
      </c>
      <c r="C61" s="24" t="n">
        <f aca="false">SUMIFS(Data!$F$2:$F$61,Data!$A$2:$A$61,$A61,Data!$B$2:$B$61,"11-50")/SUMIFS(Data!$E$2:$E$61,Data!$A$2:$A$61,$A61,Data!$B$2:$B$61,"11-50")</f>
        <v>0.319444444444444</v>
      </c>
      <c r="D61" s="24" t="n">
        <f aca="false">SUMIFS(Data!$F$2:$F$61,Data!$A$2:$A$61,$A61,Data!$B$2:$B$61,"51-100")/SUMIFS(Data!$E$2:$E$61,Data!$A$2:$A$61,$A61,Data!$B$2:$B$61,"51-100")</f>
        <v>0.324675324675325</v>
      </c>
      <c r="E61" s="24" t="n">
        <f aca="false">SUMIFS(Data!$F$2:$F$61,Data!$A$2:$A$61,$A61,Data!$B$2:$B$61,"101-500")/SUMIFS(Data!$E$2:$E$61,Data!$A$2:$A$61,$A61,Data!$B$2:$B$61,"101-500")</f>
        <v>0.252525252525253</v>
      </c>
      <c r="F61" s="24" t="n">
        <f aca="false">SUMIFS(Data!$F$2:$F$61,Data!$A$2:$A$61,$A61,Data!$B$2:$B$61,"501+")/SUMIFS(Data!$E$2:$E$61,Data!$A$2:$A$61,$A61,Data!$B$2:$B$61,"501+")</f>
        <v>0.2</v>
      </c>
      <c r="G61" s="24" t="n">
        <f aca="false">SUMIFS(Data!$F$2:$F$61,Data!$A$2:$A$61,$A61)/SUMIFS(Data!$E$2:$E$61,Data!$A$2:$A$61,$A61)</f>
        <v>0.294117647058824</v>
      </c>
    </row>
    <row r="62" customFormat="false" ht="15" hidden="false" customHeight="false" outlineLevel="0" collapsed="false">
      <c r="A62" s="28" t="n">
        <f aca="false">A16</f>
        <v>44256</v>
      </c>
      <c r="B62" s="24" t="n">
        <f aca="false">SUMIFS(Data!$F$2:$F$61,Data!$A$2:$A$61,$A62,Data!$B$2:$B$61,"1-10")/SUMIFS(Data!$E$2:$E$61,Data!$A$2:$A$61,$A62,Data!$B$2:$B$61,"1-10")</f>
        <v>0.333333333333333</v>
      </c>
      <c r="C62" s="24" t="n">
        <f aca="false">SUMIFS(Data!$F$2:$F$61,Data!$A$2:$A$61,$A62,Data!$B$2:$B$61,"11-50")/SUMIFS(Data!$E$2:$E$61,Data!$A$2:$A$61,$A62,Data!$B$2:$B$61,"11-50")</f>
        <v>0.322033898305085</v>
      </c>
      <c r="D62" s="24" t="n">
        <f aca="false">SUMIFS(Data!$F$2:$F$61,Data!$A$2:$A$61,$A62,Data!$B$2:$B$61,"51-100")/SUMIFS(Data!$E$2:$E$61,Data!$A$2:$A$61,$A62,Data!$B$2:$B$61,"51-100")</f>
        <v>0.328767123287671</v>
      </c>
      <c r="E62" s="24" t="n">
        <f aca="false">SUMIFS(Data!$F$2:$F$61,Data!$A$2:$A$61,$A62,Data!$B$2:$B$61,"101-500")/SUMIFS(Data!$E$2:$E$61,Data!$A$2:$A$61,$A62,Data!$B$2:$B$61,"101-500")</f>
        <v>0.25</v>
      </c>
      <c r="F62" s="24" t="n">
        <f aca="false">SUMIFS(Data!$F$2:$F$61,Data!$A$2:$A$61,$A62,Data!$B$2:$B$61,"501+")/SUMIFS(Data!$E$2:$E$61,Data!$A$2:$A$61,$A62,Data!$B$2:$B$61,"501+")</f>
        <v>0.208333333333333</v>
      </c>
      <c r="G62" s="24" t="n">
        <f aca="false">SUMIFS(Data!$F$2:$F$61,Data!$A$2:$A$61,$A62)/SUMIFS(Data!$E$2:$E$61,Data!$A$2:$A$61,$A62)</f>
        <v>0.290540540540541</v>
      </c>
    </row>
    <row r="63" customFormat="false" ht="15" hidden="false" customHeight="false" outlineLevel="0" collapsed="false">
      <c r="A63" s="28" t="n">
        <f aca="false">A17</f>
        <v>44287</v>
      </c>
      <c r="B63" s="24" t="n">
        <f aca="false">SUMIFS(Data!$F$2:$F$61,Data!$A$2:$A$61,$A63,Data!$B$2:$B$61,"1-10")/SUMIFS(Data!$E$2:$E$61,Data!$A$2:$A$61,$A63,Data!$B$2:$B$61,"1-10")</f>
        <v>0.325581395348837</v>
      </c>
      <c r="C63" s="24" t="n">
        <f aca="false">SUMIFS(Data!$F$2:$F$61,Data!$A$2:$A$61,$A63,Data!$B$2:$B$61,"11-50")/SUMIFS(Data!$E$2:$E$61,Data!$A$2:$A$61,$A63,Data!$B$2:$B$61,"11-50")</f>
        <v>0.338709677419355</v>
      </c>
      <c r="D63" s="24" t="n">
        <f aca="false">SUMIFS(Data!$F$2:$F$61,Data!$A$2:$A$61,$A63,Data!$B$2:$B$61,"51-100")/SUMIFS(Data!$E$2:$E$61,Data!$A$2:$A$61,$A63,Data!$B$2:$B$61,"51-100")</f>
        <v>0.32</v>
      </c>
      <c r="E63" s="24" t="n">
        <f aca="false">SUMIFS(Data!$F$2:$F$61,Data!$A$2:$A$61,$A63,Data!$B$2:$B$61,"101-500")/SUMIFS(Data!$E$2:$E$61,Data!$A$2:$A$61,$A63,Data!$B$2:$B$61,"101-500")</f>
        <v>0.280373831775701</v>
      </c>
      <c r="F63" s="24" t="n">
        <f aca="false">SUMIFS(Data!$F$2:$F$61,Data!$A$2:$A$61,$A63,Data!$B$2:$B$61,"501+")/SUMIFS(Data!$E$2:$E$61,Data!$A$2:$A$61,$A63,Data!$B$2:$B$61,"501+")</f>
        <v>0.16</v>
      </c>
      <c r="G63" s="24" t="n">
        <f aca="false">SUMIFS(Data!$F$2:$F$61,Data!$A$2:$A$61,$A63)/SUMIFS(Data!$E$2:$E$61,Data!$A$2:$A$61,$A63)</f>
        <v>0.298076923076923</v>
      </c>
    </row>
    <row r="64" customFormat="false" ht="15" hidden="false" customHeight="false" outlineLevel="0" collapsed="false">
      <c r="A64" s="28" t="n">
        <f aca="false">A18</f>
        <v>44317</v>
      </c>
      <c r="B64" s="24" t="n">
        <f aca="false">SUMIFS(Data!$F$2:$F$61,Data!$A$2:$A$61,$A64,Data!$B$2:$B$61,"1-10")/SUMIFS(Data!$E$2:$E$61,Data!$A$2:$A$61,$A64,Data!$B$2:$B$61,"1-10")</f>
        <v>0.371428571428571</v>
      </c>
      <c r="C64" s="24" t="n">
        <f aca="false">SUMIFS(Data!$F$2:$F$61,Data!$A$2:$A$61,$A64,Data!$B$2:$B$61,"11-50")/SUMIFS(Data!$E$2:$E$61,Data!$A$2:$A$61,$A64,Data!$B$2:$B$61,"11-50")</f>
        <v>0.381818181818182</v>
      </c>
      <c r="D64" s="24" t="n">
        <f aca="false">SUMIFS(Data!$F$2:$F$61,Data!$A$2:$A$61,$A64,Data!$B$2:$B$61,"51-100")/SUMIFS(Data!$E$2:$E$61,Data!$A$2:$A$61,$A64,Data!$B$2:$B$61,"51-100")</f>
        <v>0.390243902439024</v>
      </c>
      <c r="E64" s="24" t="n">
        <f aca="false">SUMIFS(Data!$F$2:$F$61,Data!$A$2:$A$61,$A64,Data!$B$2:$B$61,"101-500")/SUMIFS(Data!$E$2:$E$61,Data!$A$2:$A$61,$A64,Data!$B$2:$B$61,"101-500")</f>
        <v>0.26605504587156</v>
      </c>
      <c r="F64" s="24" t="n">
        <f aca="false">SUMIFS(Data!$F$2:$F$61,Data!$A$2:$A$61,$A64,Data!$B$2:$B$61,"501+")/SUMIFS(Data!$E$2:$E$61,Data!$A$2:$A$61,$A64,Data!$B$2:$B$61,"501+")</f>
        <v>0.216216216216216</v>
      </c>
      <c r="G64" s="24" t="n">
        <f aca="false">SUMIFS(Data!$F$2:$F$61,Data!$A$2:$A$61,$A64)/SUMIFS(Data!$E$2:$E$61,Data!$A$2:$A$61,$A64)</f>
        <v>0.323899371069182</v>
      </c>
    </row>
    <row r="65" customFormat="false" ht="15" hidden="false" customHeight="false" outlineLevel="0" collapsed="false">
      <c r="A65" s="28" t="n">
        <f aca="false">A19</f>
        <v>44348</v>
      </c>
      <c r="B65" s="24" t="n">
        <f aca="false">SUMIFS(Data!$F$2:$F$61,Data!$A$2:$A$61,$A65,Data!$B$2:$B$61,"1-10")/SUMIFS(Data!$E$2:$E$61,Data!$A$2:$A$61,$A65,Data!$B$2:$B$61,"1-10")</f>
        <v>0.333333333333333</v>
      </c>
      <c r="C65" s="24" t="n">
        <f aca="false">SUMIFS(Data!$F$2:$F$61,Data!$A$2:$A$61,$A65,Data!$B$2:$B$61,"11-50")/SUMIFS(Data!$E$2:$E$61,Data!$A$2:$A$61,$A65,Data!$B$2:$B$61,"11-50")</f>
        <v>0.333333333333333</v>
      </c>
      <c r="D65" s="24" t="n">
        <f aca="false">SUMIFS(Data!$F$2:$F$61,Data!$A$2:$A$61,$A65,Data!$B$2:$B$61,"51-100")/SUMIFS(Data!$E$2:$E$61,Data!$A$2:$A$61,$A65,Data!$B$2:$B$61,"51-100")</f>
        <v>0.345238095238095</v>
      </c>
      <c r="E65" s="24" t="n">
        <f aca="false">SUMIFS(Data!$F$2:$F$61,Data!$A$2:$A$61,$A65,Data!$B$2:$B$61,"101-500")/SUMIFS(Data!$E$2:$E$61,Data!$A$2:$A$61,$A65,Data!$B$2:$B$61,"101-500")</f>
        <v>0.25</v>
      </c>
      <c r="F65" s="24" t="n">
        <f aca="false">SUMIFS(Data!$F$2:$F$61,Data!$A$2:$A$61,$A65,Data!$B$2:$B$61,"501+")/SUMIFS(Data!$E$2:$E$61,Data!$A$2:$A$61,$A65,Data!$B$2:$B$61,"501+")</f>
        <v>0.222222222222222</v>
      </c>
      <c r="G65" s="24" t="n">
        <f aca="false">SUMIFS(Data!$F$2:$F$61,Data!$A$2:$A$61,$A65)/SUMIFS(Data!$E$2:$E$61,Data!$A$2:$A$61,$A65)</f>
        <v>0.29746835443038</v>
      </c>
    </row>
    <row r="66" customFormat="false" ht="15" hidden="false" customHeight="false" outlineLevel="0" collapsed="false">
      <c r="A66" s="28" t="n">
        <f aca="false">A20</f>
        <v>44378</v>
      </c>
      <c r="B66" s="24" t="n">
        <f aca="false">SUMIFS(Data!$F$2:$F$61,Data!$A$2:$A$61,$A66,Data!$B$2:$B$61,"1-10")/SUMIFS(Data!$E$2:$E$61,Data!$A$2:$A$61,$A66,Data!$B$2:$B$61,"1-10")</f>
        <v>0.363636363636364</v>
      </c>
      <c r="C66" s="24" t="n">
        <f aca="false">SUMIFS(Data!$F$2:$F$61,Data!$A$2:$A$61,$A66,Data!$B$2:$B$61,"11-50")/SUMIFS(Data!$E$2:$E$61,Data!$A$2:$A$61,$A66,Data!$B$2:$B$61,"11-50")</f>
        <v>0.366197183098592</v>
      </c>
      <c r="D66" s="24" t="n">
        <f aca="false">SUMIFS(Data!$F$2:$F$61,Data!$A$2:$A$61,$A66,Data!$B$2:$B$61,"51-100")/SUMIFS(Data!$E$2:$E$61,Data!$A$2:$A$61,$A66,Data!$B$2:$B$61,"51-100")</f>
        <v>0.373626373626374</v>
      </c>
      <c r="E66" s="24" t="n">
        <f aca="false">SUMIFS(Data!$F$2:$F$61,Data!$A$2:$A$61,$A66,Data!$B$2:$B$61,"101-500")/SUMIFS(Data!$E$2:$E$61,Data!$A$2:$A$61,$A66,Data!$B$2:$B$61,"101-500")</f>
        <v>0.252252252252252</v>
      </c>
      <c r="F66" s="24" t="n">
        <f aca="false">SUMIFS(Data!$F$2:$F$61,Data!$A$2:$A$61,$A66,Data!$B$2:$B$61,"501+")/SUMIFS(Data!$E$2:$E$61,Data!$A$2:$A$61,$A66,Data!$B$2:$B$61,"501+")</f>
        <v>0.212121212121212</v>
      </c>
      <c r="G66" s="24" t="n">
        <f aca="false">SUMIFS(Data!$F$2:$F$61,Data!$A$2:$A$61,$A66)/SUMIFS(Data!$E$2:$E$61,Data!$A$2:$A$61,$A66)</f>
        <v>0.315634218289086</v>
      </c>
    </row>
    <row r="67" customFormat="false" ht="15" hidden="false" customHeight="false" outlineLevel="0" collapsed="false">
      <c r="A67" s="28" t="n">
        <f aca="false">A21</f>
        <v>44409</v>
      </c>
      <c r="B67" s="24" t="n">
        <f aca="false">SUMIFS(Data!$F$2:$F$61,Data!$A$2:$A$61,$A67,Data!$B$2:$B$61,"1-10")/SUMIFS(Data!$E$2:$E$61,Data!$A$2:$A$61,$A67,Data!$B$2:$B$61,"1-10")</f>
        <v>0.333333333333333</v>
      </c>
      <c r="C67" s="24" t="n">
        <f aca="false">SUMIFS(Data!$F$2:$F$61,Data!$A$2:$A$61,$A67,Data!$B$2:$B$61,"11-50")/SUMIFS(Data!$E$2:$E$61,Data!$A$2:$A$61,$A67,Data!$B$2:$B$61,"11-50")</f>
        <v>0.333333333333333</v>
      </c>
      <c r="D67" s="24" t="n">
        <f aca="false">SUMIFS(Data!$F$2:$F$61,Data!$A$2:$A$61,$A67,Data!$B$2:$B$61,"51-100")/SUMIFS(Data!$E$2:$E$61,Data!$A$2:$A$61,$A67,Data!$B$2:$B$61,"51-100")</f>
        <v>0.345238095238095</v>
      </c>
      <c r="E67" s="24" t="n">
        <f aca="false">SUMIFS(Data!$F$2:$F$61,Data!$A$2:$A$61,$A67,Data!$B$2:$B$61,"101-500")/SUMIFS(Data!$E$2:$E$61,Data!$A$2:$A$61,$A67,Data!$B$2:$B$61,"101-500")</f>
        <v>0.264462809917355</v>
      </c>
      <c r="F67" s="24" t="n">
        <f aca="false">SUMIFS(Data!$F$2:$F$61,Data!$A$2:$A$61,$A67,Data!$B$2:$B$61,"501+")/SUMIFS(Data!$E$2:$E$61,Data!$A$2:$A$61,$A67,Data!$B$2:$B$61,"501+")</f>
        <v>0.176470588235294</v>
      </c>
      <c r="G67" s="24" t="n">
        <f aca="false">SUMIFS(Data!$F$2:$F$61,Data!$A$2:$A$61,$A67)/SUMIFS(Data!$E$2:$E$61,Data!$A$2:$A$61,$A67)</f>
        <v>0.295857988165681</v>
      </c>
    </row>
    <row r="68" customFormat="false" ht="15" hidden="false" customHeight="false" outlineLevel="0" collapsed="false">
      <c r="A68" s="28" t="n">
        <f aca="false">A22</f>
        <v>44440</v>
      </c>
      <c r="B68" s="24" t="n">
        <f aca="false">SUMIFS(Data!$F$2:$F$61,Data!$A$2:$A$61,$A68,Data!$B$2:$B$61,"1-10")/SUMIFS(Data!$E$2:$E$61,Data!$A$2:$A$61,$A68,Data!$B$2:$B$61,"1-10")</f>
        <v>0.333333333333333</v>
      </c>
      <c r="C68" s="24" t="n">
        <f aca="false">SUMIFS(Data!$F$2:$F$61,Data!$A$2:$A$61,$A68,Data!$B$2:$B$61,"11-50")/SUMIFS(Data!$E$2:$E$61,Data!$A$2:$A$61,$A68,Data!$B$2:$B$61,"11-50")</f>
        <v>0.319444444444444</v>
      </c>
      <c r="D68" s="24" t="n">
        <f aca="false">SUMIFS(Data!$F$2:$F$61,Data!$A$2:$A$61,$A68,Data!$B$2:$B$61,"51-100")/SUMIFS(Data!$E$2:$E$61,Data!$A$2:$A$61,$A68,Data!$B$2:$B$61,"51-100")</f>
        <v>0.325</v>
      </c>
      <c r="E68" s="24" t="n">
        <f aca="false">SUMIFS(Data!$F$2:$F$61,Data!$A$2:$A$61,$A68,Data!$B$2:$B$61,"101-500")/SUMIFS(Data!$E$2:$E$61,Data!$A$2:$A$61,$A68,Data!$B$2:$B$61,"101-500")</f>
        <v>0.254237288135593</v>
      </c>
      <c r="F68" s="24" t="n">
        <f aca="false">SUMIFS(Data!$F$2:$F$61,Data!$A$2:$A$61,$A68,Data!$B$2:$B$61,"501+")/SUMIFS(Data!$E$2:$E$61,Data!$A$2:$A$61,$A68,Data!$B$2:$B$61,"501+")</f>
        <v>0.2</v>
      </c>
      <c r="G68" s="24" t="n">
        <f aca="false">SUMIFS(Data!$F$2:$F$61,Data!$A$2:$A$61,$A68)/SUMIFS(Data!$E$2:$E$61,Data!$A$2:$A$61,$A68)</f>
        <v>0.283625730994152</v>
      </c>
    </row>
    <row r="69" customFormat="false" ht="15" hidden="false" customHeight="false" outlineLevel="0" collapsed="false">
      <c r="A69" s="28" t="n">
        <f aca="false">A23</f>
        <v>44470</v>
      </c>
      <c r="B69" s="24" t="n">
        <f aca="false">SUMIFS(Data!$F$2:$F$61,Data!$A$2:$A$61,$A69,Data!$B$2:$B$61,"1-10")/SUMIFS(Data!$E$2:$E$61,Data!$A$2:$A$61,$A69,Data!$B$2:$B$61,"1-10")</f>
        <v>0.357142857142857</v>
      </c>
      <c r="C69" s="24" t="n">
        <f aca="false">SUMIFS(Data!$F$2:$F$61,Data!$A$2:$A$61,$A69,Data!$B$2:$B$61,"11-50")/SUMIFS(Data!$E$2:$E$61,Data!$A$2:$A$61,$A69,Data!$B$2:$B$61,"11-50")</f>
        <v>0.363636363636364</v>
      </c>
      <c r="D69" s="24" t="n">
        <f aca="false">SUMIFS(Data!$F$2:$F$61,Data!$A$2:$A$61,$A69,Data!$B$2:$B$61,"51-100")/SUMIFS(Data!$E$2:$E$61,Data!$A$2:$A$61,$A69,Data!$B$2:$B$61,"51-100")</f>
        <v>0.347368421052632</v>
      </c>
      <c r="E69" s="24" t="n">
        <f aca="false">SUMIFS(Data!$F$2:$F$61,Data!$A$2:$A$61,$A69,Data!$B$2:$B$61,"101-500")/SUMIFS(Data!$E$2:$E$61,Data!$A$2:$A$61,$A69,Data!$B$2:$B$61,"101-500")</f>
        <v>0.258992805755396</v>
      </c>
      <c r="F69" s="24" t="n">
        <f aca="false">SUMIFS(Data!$F$2:$F$61,Data!$A$2:$A$61,$A69,Data!$B$2:$B$61,"501+")/SUMIFS(Data!$E$2:$E$61,Data!$A$2:$A$61,$A69,Data!$B$2:$B$61,"501+")</f>
        <v>0.2</v>
      </c>
      <c r="G69" s="24" t="n">
        <f aca="false">SUMIFS(Data!$F$2:$F$61,Data!$A$2:$A$61,$A69)/SUMIFS(Data!$E$2:$E$61,Data!$A$2:$A$61,$A69)</f>
        <v>0.300771208226221</v>
      </c>
    </row>
    <row r="70" customFormat="false" ht="15" hidden="false" customHeight="false" outlineLevel="0" collapsed="false">
      <c r="A70" s="28" t="n">
        <f aca="false">A24</f>
        <v>44501</v>
      </c>
      <c r="B70" s="24" t="n">
        <f aca="false">SUMIFS(Data!$F$2:$F$61,Data!$A$2:$A$61,$A70,Data!$B$2:$B$61,"1-10")/SUMIFS(Data!$E$2:$E$61,Data!$A$2:$A$61,$A70,Data!$B$2:$B$61,"1-10")</f>
        <v>0.285714285714286</v>
      </c>
      <c r="C70" s="24" t="n">
        <f aca="false">SUMIFS(Data!$F$2:$F$61,Data!$A$2:$A$61,$A70,Data!$B$2:$B$61,"11-50")/SUMIFS(Data!$E$2:$E$61,Data!$A$2:$A$61,$A70,Data!$B$2:$B$61,"11-50")</f>
        <v>0.3</v>
      </c>
      <c r="D70" s="24" t="n">
        <f aca="false">SUMIFS(Data!$F$2:$F$61,Data!$A$2:$A$61,$A70,Data!$B$2:$B$61,"51-100")/SUMIFS(Data!$E$2:$E$61,Data!$A$2:$A$61,$A70,Data!$B$2:$B$61,"51-100")</f>
        <v>0.268292682926829</v>
      </c>
      <c r="E70" s="24" t="n">
        <f aca="false">SUMIFS(Data!$F$2:$F$61,Data!$A$2:$A$61,$A70,Data!$B$2:$B$61,"101-500")/SUMIFS(Data!$E$2:$E$61,Data!$A$2:$A$61,$A70,Data!$B$2:$B$61,"101-500")</f>
        <v>0.216666666666667</v>
      </c>
      <c r="F70" s="24" t="n">
        <f aca="false">SUMIFS(Data!$F$2:$F$61,Data!$A$2:$A$61,$A70,Data!$B$2:$B$61,"501+")/SUMIFS(Data!$E$2:$E$61,Data!$A$2:$A$61,$A70,Data!$B$2:$B$61,"501+")</f>
        <v>0.173913043478261</v>
      </c>
      <c r="G70" s="24" t="n">
        <f aca="false">SUMIFS(Data!$F$2:$F$61,Data!$A$2:$A$61,$A70)/SUMIFS(Data!$E$2:$E$61,Data!$A$2:$A$61,$A70)</f>
        <v>0.244047619047619</v>
      </c>
    </row>
    <row r="71" customFormat="false" ht="15" hidden="false" customHeight="false" outlineLevel="0" collapsed="false">
      <c r="A71" s="28" t="n">
        <f aca="false">A25</f>
        <v>44531</v>
      </c>
      <c r="B71" s="24" t="n">
        <f aca="false">SUMIFS(Data!$F$2:$F$61,Data!$A$2:$A$61,$A71,Data!$B$2:$B$61,"1-10")/SUMIFS(Data!$E$2:$E$61,Data!$A$2:$A$61,$A71,Data!$B$2:$B$61,"1-10")</f>
        <v>0.25</v>
      </c>
      <c r="C71" s="24" t="n">
        <f aca="false">SUMIFS(Data!$F$2:$F$61,Data!$A$2:$A$61,$A71,Data!$B$2:$B$61,"11-50")/SUMIFS(Data!$E$2:$E$61,Data!$A$2:$A$61,$A71,Data!$B$2:$B$61,"11-50")</f>
        <v>0.25</v>
      </c>
      <c r="D71" s="24" t="n">
        <f aca="false">SUMIFS(Data!$F$2:$F$61,Data!$A$2:$A$61,$A71,Data!$B$2:$B$61,"51-100")/SUMIFS(Data!$E$2:$E$61,Data!$A$2:$A$61,$A71,Data!$B$2:$B$61,"51-100")</f>
        <v>0.243243243243243</v>
      </c>
      <c r="E71" s="24" t="n">
        <f aca="false">SUMIFS(Data!$F$2:$F$61,Data!$A$2:$A$61,$A71,Data!$B$2:$B$61,"101-500")/SUMIFS(Data!$E$2:$E$61,Data!$A$2:$A$61,$A71,Data!$B$2:$B$61,"101-500")</f>
        <v>0.210526315789474</v>
      </c>
      <c r="F71" s="24" t="n">
        <f aca="false">SUMIFS(Data!$F$2:$F$61,Data!$A$2:$A$61,$A71,Data!$B$2:$B$61,"501+")/SUMIFS(Data!$E$2:$E$61,Data!$A$2:$A$61,$A71,Data!$B$2:$B$61,"501+")</f>
        <v>0.15</v>
      </c>
      <c r="G71" s="24" t="n">
        <f aca="false">SUMIFS(Data!$F$2:$F$61,Data!$A$2:$A$61,$A71)/SUMIFS(Data!$E$2:$E$61,Data!$A$2:$A$61,$A71)</f>
        <v>0.220779220779221</v>
      </c>
    </row>
    <row r="72" customFormat="false" ht="15" hidden="false" customHeight="false" outlineLevel="0" collapsed="false">
      <c r="A72" s="28" t="n">
        <f aca="false">A26</f>
        <v>44562</v>
      </c>
      <c r="B72" s="24" t="n">
        <f aca="false">SUMIFS(Data!$F$2:$F$61,Data!$A$2:$A$61,$A72,Data!$B$2:$B$61,"1-10")/SUMIFS(Data!$E$2:$E$61,Data!$A$2:$A$61,$A72,Data!$B$2:$B$61,"1-10")</f>
        <v>0.344827586206897</v>
      </c>
      <c r="C72" s="24" t="n">
        <f aca="false">SUMIFS(Data!$F$2:$F$61,Data!$A$2:$A$61,$A72,Data!$B$2:$B$61,"11-50")/SUMIFS(Data!$E$2:$E$61,Data!$A$2:$A$61,$A72,Data!$B$2:$B$61,"11-50")</f>
        <v>0.373333333333333</v>
      </c>
      <c r="D72" s="24" t="n">
        <f aca="false">SUMIFS(Data!$F$2:$F$61,Data!$A$2:$A$61,$A72,Data!$B$2:$B$61,"51-100")/SUMIFS(Data!$E$2:$E$61,Data!$A$2:$A$61,$A72,Data!$B$2:$B$61,"51-100")</f>
        <v>0.336448598130841</v>
      </c>
      <c r="E72" s="24" t="n">
        <f aca="false">SUMIFS(Data!$F$2:$F$61,Data!$A$2:$A$61,$A72,Data!$B$2:$B$61,"101-500")/SUMIFS(Data!$E$2:$E$61,Data!$A$2:$A$61,$A72,Data!$B$2:$B$61,"101-500")</f>
        <v>0.251798561151079</v>
      </c>
      <c r="F72" s="24" t="n">
        <f aca="false">SUMIFS(Data!$F$2:$F$61,Data!$A$2:$A$61,$A72,Data!$B$2:$B$61,"501+")/SUMIFS(Data!$E$2:$E$61,Data!$A$2:$A$61,$A72,Data!$B$2:$B$61,"501+")</f>
        <v>0.203703703703704</v>
      </c>
      <c r="G72" s="24" t="n">
        <f aca="false">SUMIFS(Data!$F$2:$F$61,Data!$A$2:$A$61,$A72)/SUMIFS(Data!$E$2:$E$61,Data!$A$2:$A$61,$A72)</f>
        <v>0.297029702970297</v>
      </c>
    </row>
    <row r="74" customFormat="false" ht="15" hidden="false" customHeight="false" outlineLevel="0" collapsed="false">
      <c r="A74" s="8" t="s">
        <v>200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customFormat="false" ht="30" hidden="false" customHeight="true" outlineLevel="0" collapsed="false">
      <c r="A75" s="18" t="s">
        <v>142</v>
      </c>
      <c r="B75" s="18" t="s">
        <v>158</v>
      </c>
      <c r="C75" s="18" t="s">
        <v>159</v>
      </c>
      <c r="D75" s="18" t="s">
        <v>160</v>
      </c>
      <c r="E75" s="18" t="s">
        <v>161</v>
      </c>
      <c r="F75" s="18" t="s">
        <v>162</v>
      </c>
      <c r="G75" s="18" t="s">
        <v>194</v>
      </c>
    </row>
    <row r="76" customFormat="false" ht="15" hidden="false" customHeight="false" outlineLevel="0" collapsed="false">
      <c r="A76" s="28" t="n">
        <f aca="false">A15</f>
        <v>44228</v>
      </c>
      <c r="B76" s="23" t="n">
        <f aca="false">SUMIFS(Data!$G$2:$G$61,Data!$A$2:$A$61,$A76,Data!$B$2:$B$61,"1-10")/SUMIFS(Data!$F$2:$F$61,Data!$A$2:$A$61,$A76,Data!$B$2:$B$61,"1-10")</f>
        <v>3100.42857142857</v>
      </c>
      <c r="C76" s="23" t="n">
        <f aca="false">SUMIFS(Data!$G$2:$G$61,Data!$A$2:$A$61,$A76,Data!$B$2:$B$61,"11-50")/SUMIFS(Data!$F$2:$F$61,Data!$A$2:$A$61,$A76,Data!$B$2:$B$61,"11-50")</f>
        <v>3924.60869565217</v>
      </c>
      <c r="D76" s="23" t="n">
        <f aca="false">SUMIFS(Data!$G$2:$G$61,Data!$A$2:$A$61,$A76,Data!$B$2:$B$61,"51-100")/SUMIFS(Data!$F$2:$F$61,Data!$A$2:$A$61,$A76,Data!$B$2:$B$61,"51-100")</f>
        <v>9158.96</v>
      </c>
      <c r="E76" s="23" t="n">
        <f aca="false">SUMIFS(Data!$G$2:$G$61,Data!$A$2:$A$61,$A76,Data!$B$2:$B$61,"101-500")/SUMIFS(Data!$F$2:$F$61,Data!$A$2:$A$61,$A76,Data!$B$2:$B$61,"101-500")</f>
        <v>10955.96</v>
      </c>
      <c r="F76" s="23" t="n">
        <f aca="false">SUMIFS(Data!$G$2:$G$61,Data!$A$2:$A$61,$A76,Data!$B$2:$B$61,"501+")/SUMIFS(Data!$F$2:$F$61,Data!$A$2:$A$61,$A76,Data!$B$2:$B$61,"501+")</f>
        <v>17941.6666666667</v>
      </c>
      <c r="G76" s="23" t="n">
        <f aca="false">SUMIFS(Data!$G$2:$G$61,Data!$A$2:$A$61,$A76)/SUMIFS(Data!$F$2:$F$61,Data!$A$2:$A$61,$A76)</f>
        <v>7670.77777777778</v>
      </c>
    </row>
    <row r="77" customFormat="false" ht="15" hidden="false" customHeight="false" outlineLevel="0" collapsed="false">
      <c r="A77" s="28" t="n">
        <f aca="false">A16</f>
        <v>44256</v>
      </c>
      <c r="B77" s="23" t="n">
        <f aca="false">SUMIFS(Data!$G$2:$G$61,Data!$A$2:$A$61,$A77,Data!$B$2:$B$61,"1-10")/SUMIFS(Data!$F$2:$F$61,Data!$A$2:$A$61,$A77,Data!$B$2:$B$61,"1-10")</f>
        <v>2980.33333333333</v>
      </c>
      <c r="C77" s="23" t="n">
        <f aca="false">SUMIFS(Data!$G$2:$G$61,Data!$A$2:$A$61,$A77,Data!$B$2:$B$61,"11-50")/SUMIFS(Data!$F$2:$F$61,Data!$A$2:$A$61,$A77,Data!$B$2:$B$61,"11-50")</f>
        <v>4065.21052631579</v>
      </c>
      <c r="D77" s="23" t="n">
        <f aca="false">SUMIFS(Data!$G$2:$G$61,Data!$A$2:$A$61,$A77,Data!$B$2:$B$61,"51-100")/SUMIFS(Data!$F$2:$F$61,Data!$A$2:$A$61,$A77,Data!$B$2:$B$61,"51-100")</f>
        <v>9130.70833333333</v>
      </c>
      <c r="E77" s="23" t="n">
        <f aca="false">SUMIFS(Data!$G$2:$G$61,Data!$A$2:$A$61,$A77,Data!$B$2:$B$61,"101-500")/SUMIFS(Data!$F$2:$F$61,Data!$A$2:$A$61,$A77,Data!$B$2:$B$61,"101-500")</f>
        <v>10544.2692307692</v>
      </c>
      <c r="F77" s="23" t="n">
        <f aca="false">SUMIFS(Data!$G$2:$G$61,Data!$A$2:$A$61,$A77,Data!$B$2:$B$61,"501+")/SUMIFS(Data!$F$2:$F$61,Data!$A$2:$A$61,$A77,Data!$B$2:$B$61,"501+")</f>
        <v>22369.6</v>
      </c>
      <c r="G77" s="23" t="n">
        <f aca="false">SUMIFS(Data!$G$2:$G$61,Data!$A$2:$A$61,$A77)/SUMIFS(Data!$F$2:$F$61,Data!$A$2:$A$61,$A77)</f>
        <v>8350.45348837209</v>
      </c>
    </row>
    <row r="78" customFormat="false" ht="15" hidden="false" customHeight="false" outlineLevel="0" collapsed="false">
      <c r="A78" s="28" t="n">
        <f aca="false">A17</f>
        <v>44287</v>
      </c>
      <c r="B78" s="23" t="n">
        <f aca="false">SUMIFS(Data!$G$2:$G$61,Data!$A$2:$A$61,$A78,Data!$B$2:$B$61,"1-10")/SUMIFS(Data!$F$2:$F$61,Data!$A$2:$A$61,$A78,Data!$B$2:$B$61,"1-10")</f>
        <v>2823.21428571429</v>
      </c>
      <c r="C78" s="23" t="n">
        <f aca="false">SUMIFS(Data!$G$2:$G$61,Data!$A$2:$A$61,$A78,Data!$B$2:$B$61,"11-50")/SUMIFS(Data!$F$2:$F$61,Data!$A$2:$A$61,$A78,Data!$B$2:$B$61,"11-50")</f>
        <v>3967.90476190476</v>
      </c>
      <c r="D78" s="23" t="n">
        <f aca="false">SUMIFS(Data!$G$2:$G$61,Data!$A$2:$A$61,$A78,Data!$B$2:$B$61,"51-100")/SUMIFS(Data!$F$2:$F$61,Data!$A$2:$A$61,$A78,Data!$B$2:$B$61,"51-100")</f>
        <v>8880.91666666667</v>
      </c>
      <c r="E78" s="23" t="n">
        <f aca="false">SUMIFS(Data!$G$2:$G$61,Data!$A$2:$A$61,$A78,Data!$B$2:$B$61,"101-500")/SUMIFS(Data!$F$2:$F$61,Data!$A$2:$A$61,$A78,Data!$B$2:$B$61,"101-500")</f>
        <v>11137.1666666667</v>
      </c>
      <c r="F78" s="23" t="n">
        <f aca="false">SUMIFS(Data!$G$2:$G$61,Data!$A$2:$A$61,$A78,Data!$B$2:$B$61,"501+")/SUMIFS(Data!$F$2:$F$61,Data!$A$2:$A$61,$A78,Data!$B$2:$B$61,"501+")</f>
        <v>21516.25</v>
      </c>
      <c r="G78" s="23" t="n">
        <f aca="false">SUMIFS(Data!$G$2:$G$61,Data!$A$2:$A$61,$A78)/SUMIFS(Data!$F$2:$F$61,Data!$A$2:$A$61,$A78)</f>
        <v>8130.89247311828</v>
      </c>
    </row>
    <row r="79" customFormat="false" ht="15" hidden="false" customHeight="false" outlineLevel="0" collapsed="false">
      <c r="A79" s="28" t="n">
        <f aca="false">A18</f>
        <v>44317</v>
      </c>
      <c r="B79" s="23" t="n">
        <f aca="false">SUMIFS(Data!$G$2:$G$61,Data!$A$2:$A$61,$A79,Data!$B$2:$B$61,"1-10")/SUMIFS(Data!$F$2:$F$61,Data!$A$2:$A$61,$A79,Data!$B$2:$B$61,"1-10")</f>
        <v>2951.76923076923</v>
      </c>
      <c r="C79" s="23" t="n">
        <f aca="false">SUMIFS(Data!$G$2:$G$61,Data!$A$2:$A$61,$A79,Data!$B$2:$B$61,"11-50")/SUMIFS(Data!$F$2:$F$61,Data!$A$2:$A$61,$A79,Data!$B$2:$B$61,"11-50")</f>
        <v>4002.61904761905</v>
      </c>
      <c r="D79" s="23" t="n">
        <f aca="false">SUMIFS(Data!$G$2:$G$61,Data!$A$2:$A$61,$A79,Data!$B$2:$B$61,"51-100")/SUMIFS(Data!$F$2:$F$61,Data!$A$2:$A$61,$A79,Data!$B$2:$B$61,"51-100")</f>
        <v>9053.34375</v>
      </c>
      <c r="E79" s="23" t="n">
        <f aca="false">SUMIFS(Data!$G$2:$G$61,Data!$A$2:$A$61,$A79,Data!$B$2:$B$61,"101-500")/SUMIFS(Data!$F$2:$F$61,Data!$A$2:$A$61,$A79,Data!$B$2:$B$61,"101-500")</f>
        <v>12223.3103448276</v>
      </c>
      <c r="F79" s="23" t="n">
        <f aca="false">SUMIFS(Data!$G$2:$G$61,Data!$A$2:$A$61,$A79,Data!$B$2:$B$61,"501+")/SUMIFS(Data!$F$2:$F$61,Data!$A$2:$A$61,$A79,Data!$B$2:$B$61,"501+")</f>
        <v>19855.75</v>
      </c>
      <c r="G79" s="23" t="n">
        <f aca="false">SUMIFS(Data!$G$2:$G$61,Data!$A$2:$A$61,$A79)/SUMIFS(Data!$F$2:$F$61,Data!$A$2:$A$61,$A79)</f>
        <v>8985.01941747573</v>
      </c>
    </row>
    <row r="80" customFormat="false" ht="15" hidden="false" customHeight="false" outlineLevel="0" collapsed="false">
      <c r="A80" s="28" t="n">
        <f aca="false">A19</f>
        <v>44348</v>
      </c>
      <c r="B80" s="23" t="n">
        <f aca="false">SUMIFS(Data!$G$2:$G$61,Data!$A$2:$A$61,$A80,Data!$B$2:$B$61,"1-10")/SUMIFS(Data!$F$2:$F$61,Data!$A$2:$A$61,$A80,Data!$B$2:$B$61,"1-10")</f>
        <v>3070.4</v>
      </c>
      <c r="C80" s="23" t="n">
        <f aca="false">SUMIFS(Data!$G$2:$G$61,Data!$A$2:$A$61,$A80,Data!$B$2:$B$61,"11-50")/SUMIFS(Data!$F$2:$F$61,Data!$A$2:$A$61,$A80,Data!$B$2:$B$61,"11-50")</f>
        <v>4159.95454545455</v>
      </c>
      <c r="D80" s="23" t="n">
        <f aca="false">SUMIFS(Data!$G$2:$G$61,Data!$A$2:$A$61,$A80,Data!$B$2:$B$61,"51-100")/SUMIFS(Data!$F$2:$F$61,Data!$A$2:$A$61,$A80,Data!$B$2:$B$61,"51-100")</f>
        <v>9028.10344827586</v>
      </c>
      <c r="E80" s="23" t="n">
        <f aca="false">SUMIFS(Data!$G$2:$G$61,Data!$A$2:$A$61,$A80,Data!$B$2:$B$61,"101-500")/SUMIFS(Data!$F$2:$F$61,Data!$A$2:$A$61,$A80,Data!$B$2:$B$61,"101-500")</f>
        <v>12099.28</v>
      </c>
      <c r="F80" s="23" t="n">
        <f aca="false">SUMIFS(Data!$G$2:$G$61,Data!$A$2:$A$61,$A80,Data!$B$2:$B$61,"501+")/SUMIFS(Data!$F$2:$F$61,Data!$A$2:$A$61,$A80,Data!$B$2:$B$61,"501+")</f>
        <v>21286.375</v>
      </c>
      <c r="G80" s="23" t="n">
        <f aca="false">SUMIFS(Data!$G$2:$G$61,Data!$A$2:$A$61,$A80)/SUMIFS(Data!$F$2:$F$61,Data!$A$2:$A$61,$A80)</f>
        <v>9115.01063829787</v>
      </c>
    </row>
    <row r="81" customFormat="false" ht="15" hidden="false" customHeight="false" outlineLevel="0" collapsed="false">
      <c r="A81" s="28" t="n">
        <f aca="false">A20</f>
        <v>44378</v>
      </c>
      <c r="B81" s="23" t="n">
        <f aca="false">SUMIFS(Data!$G$2:$G$61,Data!$A$2:$A$61,$A81,Data!$B$2:$B$61,"1-10")/SUMIFS(Data!$F$2:$F$61,Data!$A$2:$A$61,$A81,Data!$B$2:$B$61,"1-10")</f>
        <v>2893.5</v>
      </c>
      <c r="C81" s="23" t="n">
        <f aca="false">SUMIFS(Data!$G$2:$G$61,Data!$A$2:$A$61,$A81,Data!$B$2:$B$61,"11-50")/SUMIFS(Data!$F$2:$F$61,Data!$A$2:$A$61,$A81,Data!$B$2:$B$61,"11-50")</f>
        <v>4018.03846153846</v>
      </c>
      <c r="D81" s="23" t="n">
        <f aca="false">SUMIFS(Data!$G$2:$G$61,Data!$A$2:$A$61,$A81,Data!$B$2:$B$61,"51-100")/SUMIFS(Data!$F$2:$F$61,Data!$A$2:$A$61,$A81,Data!$B$2:$B$61,"51-100")</f>
        <v>9134.47058823529</v>
      </c>
      <c r="E81" s="23" t="n">
        <f aca="false">SUMIFS(Data!$G$2:$G$61,Data!$A$2:$A$61,$A81,Data!$B$2:$B$61,"101-500")/SUMIFS(Data!$F$2:$F$61,Data!$A$2:$A$61,$A81,Data!$B$2:$B$61,"101-500")</f>
        <v>11775.1785714286</v>
      </c>
      <c r="F81" s="23" t="n">
        <f aca="false">SUMIFS(Data!$G$2:$G$61,Data!$A$2:$A$61,$A81,Data!$B$2:$B$61,"501+")/SUMIFS(Data!$F$2:$F$61,Data!$A$2:$A$61,$A81,Data!$B$2:$B$61,"501+")</f>
        <v>21743.1428571429</v>
      </c>
      <c r="G81" s="23" t="n">
        <f aca="false">SUMIFS(Data!$G$2:$G$61,Data!$A$2:$A$61,$A81)/SUMIFS(Data!$F$2:$F$61,Data!$A$2:$A$61,$A81)</f>
        <v>8707.19626168224</v>
      </c>
    </row>
    <row r="82" customFormat="false" ht="15" hidden="false" customHeight="false" outlineLevel="0" collapsed="false">
      <c r="A82" s="28" t="n">
        <f aca="false">A21</f>
        <v>44409</v>
      </c>
      <c r="B82" s="23" t="n">
        <f aca="false">SUMIFS(Data!$G$2:$G$61,Data!$A$2:$A$61,$A82,Data!$B$2:$B$61,"1-10")/SUMIFS(Data!$F$2:$F$61,Data!$A$2:$A$61,$A82,Data!$B$2:$B$61,"1-10")</f>
        <v>2910.85714285714</v>
      </c>
      <c r="C82" s="23" t="n">
        <f aca="false">SUMIFS(Data!$G$2:$G$61,Data!$A$2:$A$61,$A82,Data!$B$2:$B$61,"11-50")/SUMIFS(Data!$F$2:$F$61,Data!$A$2:$A$61,$A82,Data!$B$2:$B$61,"11-50")</f>
        <v>4173.07692307692</v>
      </c>
      <c r="D82" s="23" t="n">
        <f aca="false">SUMIFS(Data!$G$2:$G$61,Data!$A$2:$A$61,$A82,Data!$B$2:$B$61,"51-100")/SUMIFS(Data!$F$2:$F$61,Data!$A$2:$A$61,$A82,Data!$B$2:$B$61,"51-100")</f>
        <v>9659.51724137931</v>
      </c>
      <c r="E82" s="23" t="n">
        <f aca="false">SUMIFS(Data!$G$2:$G$61,Data!$A$2:$A$61,$A82,Data!$B$2:$B$61,"101-500")/SUMIFS(Data!$F$2:$F$61,Data!$A$2:$A$61,$A82,Data!$B$2:$B$61,"101-500")</f>
        <v>12396.78125</v>
      </c>
      <c r="F82" s="23" t="n">
        <f aca="false">SUMIFS(Data!$G$2:$G$61,Data!$A$2:$A$61,$A82,Data!$B$2:$B$61,"501+")/SUMIFS(Data!$F$2:$F$61,Data!$A$2:$A$61,$A82,Data!$B$2:$B$61,"501+")</f>
        <v>22957</v>
      </c>
      <c r="G82" s="23" t="n">
        <f aca="false">SUMIFS(Data!$G$2:$G$61,Data!$A$2:$A$61,$A82)/SUMIFS(Data!$F$2:$F$61,Data!$A$2:$A$61,$A82)</f>
        <v>9434.41</v>
      </c>
    </row>
    <row r="83" customFormat="false" ht="15" hidden="false" customHeight="false" outlineLevel="0" collapsed="false">
      <c r="A83" s="28" t="n">
        <f aca="false">A22</f>
        <v>44440</v>
      </c>
      <c r="B83" s="23" t="n">
        <f aca="false">SUMIFS(Data!$G$2:$G$61,Data!$A$2:$A$61,$A83,Data!$B$2:$B$61,"1-10")/SUMIFS(Data!$F$2:$F$61,Data!$A$2:$A$61,$A83,Data!$B$2:$B$61,"1-10")</f>
        <v>2939.11111111111</v>
      </c>
      <c r="C83" s="23" t="n">
        <f aca="false">SUMIFS(Data!$G$2:$G$61,Data!$A$2:$A$61,$A83,Data!$B$2:$B$61,"11-50")/SUMIFS(Data!$F$2:$F$61,Data!$A$2:$A$61,$A83,Data!$B$2:$B$61,"11-50")</f>
        <v>4107.13043478261</v>
      </c>
      <c r="D83" s="23" t="n">
        <f aca="false">SUMIFS(Data!$G$2:$G$61,Data!$A$2:$A$61,$A83,Data!$B$2:$B$61,"51-100")/SUMIFS(Data!$F$2:$F$61,Data!$A$2:$A$61,$A83,Data!$B$2:$B$61,"51-100")</f>
        <v>9135.61538461539</v>
      </c>
      <c r="E83" s="23" t="n">
        <f aca="false">SUMIFS(Data!$G$2:$G$61,Data!$A$2:$A$61,$A83,Data!$B$2:$B$61,"101-500")/SUMIFS(Data!$F$2:$F$61,Data!$A$2:$A$61,$A83,Data!$B$2:$B$61,"101-500")</f>
        <v>12911.0666666667</v>
      </c>
      <c r="F83" s="23" t="n">
        <f aca="false">SUMIFS(Data!$G$2:$G$61,Data!$A$2:$A$61,$A83,Data!$B$2:$B$61,"501+")/SUMIFS(Data!$F$2:$F$61,Data!$A$2:$A$61,$A83,Data!$B$2:$B$61,"501+")</f>
        <v>23228.5555555556</v>
      </c>
      <c r="G83" s="23" t="n">
        <f aca="false">SUMIFS(Data!$G$2:$G$61,Data!$A$2:$A$61,$A83)/SUMIFS(Data!$F$2:$F$61,Data!$A$2:$A$61,$A83)</f>
        <v>9843.61855670103</v>
      </c>
    </row>
    <row r="84" customFormat="false" ht="15" hidden="false" customHeight="false" outlineLevel="0" collapsed="false">
      <c r="A84" s="28" t="n">
        <f aca="false">A23</f>
        <v>44470</v>
      </c>
      <c r="B84" s="23" t="n">
        <f aca="false">SUMIFS(Data!$G$2:$G$61,Data!$A$2:$A$61,$A84,Data!$B$2:$B$61,"1-10")/SUMIFS(Data!$F$2:$F$61,Data!$A$2:$A$61,$A84,Data!$B$2:$B$61,"1-10")</f>
        <v>3047.6</v>
      </c>
      <c r="C84" s="23" t="n">
        <f aca="false">SUMIFS(Data!$G$2:$G$61,Data!$A$2:$A$61,$A84,Data!$B$2:$B$61,"11-50")/SUMIFS(Data!$F$2:$F$61,Data!$A$2:$A$61,$A84,Data!$B$2:$B$61,"11-50")</f>
        <v>3921.10714285714</v>
      </c>
      <c r="D84" s="23" t="n">
        <f aca="false">SUMIFS(Data!$G$2:$G$61,Data!$A$2:$A$61,$A84,Data!$B$2:$B$61,"51-100")/SUMIFS(Data!$F$2:$F$61,Data!$A$2:$A$61,$A84,Data!$B$2:$B$61,"51-100")</f>
        <v>9644.12121212121</v>
      </c>
      <c r="E84" s="23" t="n">
        <f aca="false">SUMIFS(Data!$G$2:$G$61,Data!$A$2:$A$61,$A84,Data!$B$2:$B$61,"101-500")/SUMIFS(Data!$F$2:$F$61,Data!$A$2:$A$61,$A84,Data!$B$2:$B$61,"101-500")</f>
        <v>13602.5</v>
      </c>
      <c r="F84" s="23" t="n">
        <f aca="false">SUMIFS(Data!$G$2:$G$61,Data!$A$2:$A$61,$A84,Data!$B$2:$B$61,"501+")/SUMIFS(Data!$F$2:$F$61,Data!$A$2:$A$61,$A84,Data!$B$2:$B$61,"501+")</f>
        <v>23179.2</v>
      </c>
      <c r="G84" s="23" t="n">
        <f aca="false">SUMIFS(Data!$G$2:$G$61,Data!$A$2:$A$61,$A84)/SUMIFS(Data!$F$2:$F$61,Data!$A$2:$A$61,$A84)</f>
        <v>10085.5128205128</v>
      </c>
    </row>
    <row r="85" customFormat="false" ht="15" hidden="false" customHeight="false" outlineLevel="0" collapsed="false">
      <c r="A85" s="28" t="n">
        <f aca="false">A24</f>
        <v>44501</v>
      </c>
      <c r="B85" s="23" t="n">
        <f aca="false">SUMIFS(Data!$G$2:$G$61,Data!$A$2:$A$61,$A85,Data!$B$2:$B$61,"1-10")/SUMIFS(Data!$F$2:$F$61,Data!$A$2:$A$61,$A85,Data!$B$2:$B$61,"1-10")</f>
        <v>3080.75</v>
      </c>
      <c r="C85" s="23" t="n">
        <f aca="false">SUMIFS(Data!$G$2:$G$61,Data!$A$2:$A$61,$A85,Data!$B$2:$B$61,"11-50")/SUMIFS(Data!$F$2:$F$61,Data!$A$2:$A$61,$A85,Data!$B$2:$B$61,"11-50")</f>
        <v>3777.22222222222</v>
      </c>
      <c r="D85" s="23" t="n">
        <f aca="false">SUMIFS(Data!$G$2:$G$61,Data!$A$2:$A$61,$A85,Data!$B$2:$B$61,"51-100")/SUMIFS(Data!$F$2:$F$61,Data!$A$2:$A$61,$A85,Data!$B$2:$B$61,"51-100")</f>
        <v>9910.45454545455</v>
      </c>
      <c r="E85" s="23" t="n">
        <f aca="false">SUMIFS(Data!$G$2:$G$61,Data!$A$2:$A$61,$A85,Data!$B$2:$B$61,"101-500")/SUMIFS(Data!$F$2:$F$61,Data!$A$2:$A$61,$A85,Data!$B$2:$B$61,"101-500")</f>
        <v>14223.0769230769</v>
      </c>
      <c r="F85" s="23" t="n">
        <f aca="false">SUMIFS(Data!$G$2:$G$61,Data!$A$2:$A$61,$A85,Data!$B$2:$B$61,"501+")/SUMIFS(Data!$F$2:$F$61,Data!$A$2:$A$61,$A85,Data!$B$2:$B$61,"501+")</f>
        <v>22389.5</v>
      </c>
      <c r="G85" s="23" t="n">
        <f aca="false">SUMIFS(Data!$G$2:$G$61,Data!$A$2:$A$61,$A85)/SUMIFS(Data!$F$2:$F$61,Data!$A$2:$A$61,$A85)</f>
        <v>10482.7073170732</v>
      </c>
    </row>
    <row r="86" customFormat="false" ht="15" hidden="false" customHeight="false" outlineLevel="0" collapsed="false">
      <c r="A86" s="28" t="n">
        <f aca="false">A25</f>
        <v>44531</v>
      </c>
      <c r="B86" s="23" t="n">
        <f aca="false">SUMIFS(Data!$G$2:$G$61,Data!$A$2:$A$61,$A86,Data!$B$2:$B$61,"1-10")/SUMIFS(Data!$F$2:$F$61,Data!$A$2:$A$61,$A86,Data!$B$2:$B$61,"1-10")</f>
        <v>3224.66666666667</v>
      </c>
      <c r="C86" s="23" t="n">
        <f aca="false">SUMIFS(Data!$G$2:$G$61,Data!$A$2:$A$61,$A86,Data!$B$2:$B$61,"11-50")/SUMIFS(Data!$F$2:$F$61,Data!$A$2:$A$61,$A86,Data!$B$2:$B$61,"11-50")</f>
        <v>3975.71428571429</v>
      </c>
      <c r="D86" s="23" t="n">
        <f aca="false">SUMIFS(Data!$G$2:$G$61,Data!$A$2:$A$61,$A86,Data!$B$2:$B$61,"51-100")/SUMIFS(Data!$F$2:$F$61,Data!$A$2:$A$61,$A86,Data!$B$2:$B$61,"51-100")</f>
        <v>9359.55555555556</v>
      </c>
      <c r="E86" s="23" t="n">
        <f aca="false">SUMIFS(Data!$G$2:$G$61,Data!$A$2:$A$61,$A86,Data!$B$2:$B$61,"101-500")/SUMIFS(Data!$F$2:$F$61,Data!$A$2:$A$61,$A86,Data!$B$2:$B$61,"101-500")</f>
        <v>13947.1666666667</v>
      </c>
      <c r="F86" s="23" t="n">
        <f aca="false">SUMIFS(Data!$G$2:$G$61,Data!$A$2:$A$61,$A86,Data!$B$2:$B$61,"501+")/SUMIFS(Data!$F$2:$F$61,Data!$A$2:$A$61,$A86,Data!$B$2:$B$61,"501+")</f>
        <v>28845.6666666667</v>
      </c>
      <c r="G86" s="23" t="n">
        <f aca="false">SUMIFS(Data!$G$2:$G$61,Data!$A$2:$A$61,$A86)/SUMIFS(Data!$F$2:$F$61,Data!$A$2:$A$61,$A86)</f>
        <v>11048.3235294118</v>
      </c>
    </row>
    <row r="87" customFormat="false" ht="15" hidden="false" customHeight="false" outlineLevel="0" collapsed="false">
      <c r="A87" s="28" t="n">
        <f aca="false">A26</f>
        <v>44562</v>
      </c>
      <c r="B87" s="23" t="n">
        <f aca="false">SUMIFS(Data!$G$2:$G$61,Data!$A$2:$A$61,$A87,Data!$B$2:$B$61,"1-10")/SUMIFS(Data!$F$2:$F$61,Data!$A$2:$A$61,$A87,Data!$B$2:$B$61,"1-10")</f>
        <v>3070.8</v>
      </c>
      <c r="C87" s="23" t="n">
        <f aca="false">SUMIFS(Data!$G$2:$G$61,Data!$A$2:$A$61,$A87,Data!$B$2:$B$61,"11-50")/SUMIFS(Data!$F$2:$F$61,Data!$A$2:$A$61,$A87,Data!$B$2:$B$61,"11-50")</f>
        <v>3931.85714285714</v>
      </c>
      <c r="D87" s="23" t="n">
        <f aca="false">SUMIFS(Data!$G$2:$G$61,Data!$A$2:$A$61,$A87,Data!$B$2:$B$61,"51-100")/SUMIFS(Data!$F$2:$F$61,Data!$A$2:$A$61,$A87,Data!$B$2:$B$61,"51-100")</f>
        <v>9811.52777777778</v>
      </c>
      <c r="E87" s="23" t="n">
        <f aca="false">SUMIFS(Data!$G$2:$G$61,Data!$A$2:$A$61,$A87,Data!$B$2:$B$61,"101-500")/SUMIFS(Data!$F$2:$F$61,Data!$A$2:$A$61,$A87,Data!$B$2:$B$61,"101-500")</f>
        <v>14436.1428571429</v>
      </c>
      <c r="F87" s="23" t="n">
        <f aca="false">SUMIFS(Data!$G$2:$G$61,Data!$A$2:$A$61,$A87,Data!$B$2:$B$61,"501+")/SUMIFS(Data!$F$2:$F$61,Data!$A$2:$A$61,$A87,Data!$B$2:$B$61,"501+")</f>
        <v>25886.9090909091</v>
      </c>
      <c r="G87" s="23" t="n">
        <f aca="false">SUMIFS(Data!$G$2:$G$61,Data!$A$2:$A$61,$A87)/SUMIFS(Data!$F$2:$F$61,Data!$A$2:$A$61,$A87)</f>
        <v>10700.3</v>
      </c>
    </row>
    <row r="89" customFormat="false" ht="15" hidden="false" customHeight="false" outlineLevel="0" collapsed="false">
      <c r="A89" s="8" t="s">
        <v>201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customFormat="false" ht="30" hidden="false" customHeight="true" outlineLevel="0" collapsed="false">
      <c r="A90" s="18" t="s">
        <v>142</v>
      </c>
      <c r="B90" s="18" t="s">
        <v>158</v>
      </c>
      <c r="C90" s="18" t="s">
        <v>159</v>
      </c>
      <c r="D90" s="18" t="s">
        <v>160</v>
      </c>
      <c r="E90" s="18" t="s">
        <v>161</v>
      </c>
      <c r="F90" s="18" t="s">
        <v>162</v>
      </c>
      <c r="G90" s="18" t="s">
        <v>194</v>
      </c>
    </row>
    <row r="91" customFormat="false" ht="15" hidden="false" customHeight="false" outlineLevel="0" collapsed="false">
      <c r="A91" s="28" t="n">
        <f aca="false">A15</f>
        <v>44228</v>
      </c>
      <c r="B91" s="24" t="n">
        <f aca="false">IF($M15=1,"",SUMIFS(Data!$D$2:$D$61,Data!$A$2:$A$61,$A91,Data!$B$2:$B$61,"1-10")/SUMIFS(Data!$C$2:$C$61,Data!$A$2:$A$61,$A91,Data!$B$2:$B$61,"1-10"))</f>
        <v>0.433070866141732</v>
      </c>
      <c r="C91" s="24" t="n">
        <f aca="false">IF($M15=1,"",SUMIFS(Data!$D$2:$D$61,Data!$A$2:$A$61,$A91,Data!$B$2:$B$61,"11-50")/SUMIFS(Data!$C$2:$C$61,Data!$A$2:$A$61,$A91,Data!$B$2:$B$61,"11-50"))</f>
        <v>0.442307692307692</v>
      </c>
      <c r="D91" s="24" t="n">
        <f aca="false">IF($M15=1,"",SUMIFS(Data!$D$2:$D$61,Data!$A$2:$A$61,$A91,Data!$B$2:$B$61,"51-100")/SUMIFS(Data!$C$2:$C$61,Data!$A$2:$A$61,$A91,Data!$B$2:$B$61,"51-100"))</f>
        <v>0.41991341991342</v>
      </c>
      <c r="E91" s="24" t="n">
        <f aca="false">IF($M15=1,"",SUMIFS(Data!$D$2:$D$61,Data!$A$2:$A$61,$A91,Data!$B$2:$B$61,"101-500")/SUMIFS(Data!$C$2:$C$61,Data!$A$2:$A$61,$A91,Data!$B$2:$B$61,"101-500"))</f>
        <v>0.30952380952381</v>
      </c>
      <c r="F91" s="24" t="n">
        <f aca="false">IF($M15=1,"",SUMIFS(Data!$D$2:$D$61,Data!$A$2:$A$61,$A91,Data!$B$2:$B$61,"501+")/SUMIFS(Data!$C$2:$C$61,Data!$A$2:$A$61,$A91,Data!$B$2:$B$61,"501+"))</f>
        <v>0.181102362204724</v>
      </c>
      <c r="G91" s="24" t="n">
        <f aca="false">IF($M15=1,"",SUMIFS(Data!$D$2:$D$61,Data!$A$2:$A$61,$A91)/SUMIFS(Data!$C$2:$C$61,Data!$A$2:$A$61,$A91))</f>
        <v>0.354978354978355</v>
      </c>
    </row>
    <row r="92" customFormat="false" ht="15" hidden="false" customHeight="false" outlineLevel="0" collapsed="false">
      <c r="A92" s="28" t="n">
        <f aca="false">A16</f>
        <v>44256</v>
      </c>
      <c r="B92" s="24" t="n">
        <f aca="false">IF($M16=1,"",SUMIFS(Data!$D$2:$D$61,Data!$A$2:$A$61,$A92,Data!$B$2:$B$61,"1-10")/SUMIFS(Data!$C$2:$C$61,Data!$A$2:$A$61,$A92,Data!$B$2:$B$61,"1-10"))</f>
        <v>0.422018348623853</v>
      </c>
      <c r="C92" s="24" t="n">
        <f aca="false">IF($M16=1,"",SUMIFS(Data!$D$2:$D$61,Data!$A$2:$A$61,$A92,Data!$B$2:$B$61,"11-50")/SUMIFS(Data!$C$2:$C$61,Data!$A$2:$A$61,$A92,Data!$B$2:$B$61,"11-50"))</f>
        <v>0.429411764705882</v>
      </c>
      <c r="D92" s="24" t="n">
        <f aca="false">IF($M16=1,"",SUMIFS(Data!$D$2:$D$61,Data!$A$2:$A$61,$A92,Data!$B$2:$B$61,"51-100")/SUMIFS(Data!$C$2:$C$61,Data!$A$2:$A$61,$A92,Data!$B$2:$B$61,"51-100"))</f>
        <v>0.398268398268398</v>
      </c>
      <c r="E92" s="24" t="n">
        <f aca="false">IF($M16=1,"",SUMIFS(Data!$D$2:$D$61,Data!$A$2:$A$61,$A92,Data!$B$2:$B$61,"101-500")/SUMIFS(Data!$C$2:$C$61,Data!$A$2:$A$61,$A92,Data!$B$2:$B$61,"101-500"))</f>
        <v>0.3</v>
      </c>
      <c r="F92" s="24" t="n">
        <f aca="false">IF($M16=1,"",SUMIFS(Data!$D$2:$D$61,Data!$A$2:$A$61,$A92,Data!$B$2:$B$61,"501+")/SUMIFS(Data!$C$2:$C$61,Data!$A$2:$A$61,$A92,Data!$B$2:$B$61,"501+"))</f>
        <v>0.190721649484536</v>
      </c>
      <c r="G92" s="24" t="n">
        <f aca="false">IF($M16=1,"",SUMIFS(Data!$D$2:$D$61,Data!$A$2:$A$61,$A92)/SUMIFS(Data!$C$2:$C$61,Data!$A$2:$A$61,$A92))</f>
        <v>0.330313014827018</v>
      </c>
    </row>
    <row r="93" customFormat="false" ht="15" hidden="false" customHeight="false" outlineLevel="0" collapsed="false">
      <c r="A93" s="28" t="n">
        <f aca="false">A17</f>
        <v>44287</v>
      </c>
      <c r="B93" s="24" t="n">
        <f aca="false">IF($M17=1,"",SUMIFS(Data!$D$2:$D$61,Data!$A$2:$A$61,$A93,Data!$B$2:$B$61,"1-10")/SUMIFS(Data!$C$2:$C$61,Data!$A$2:$A$61,$A93,Data!$B$2:$B$61,"1-10"))</f>
        <v>0.401515151515152</v>
      </c>
      <c r="C93" s="24" t="n">
        <f aca="false">IF($M17=1,"",SUMIFS(Data!$D$2:$D$61,Data!$A$2:$A$61,$A93,Data!$B$2:$B$61,"11-50")/SUMIFS(Data!$C$2:$C$61,Data!$A$2:$A$61,$A93,Data!$B$2:$B$61,"11-50"))</f>
        <v>0.401015228426396</v>
      </c>
      <c r="D93" s="24" t="n">
        <f aca="false">IF($M17=1,"",SUMIFS(Data!$D$2:$D$61,Data!$A$2:$A$61,$A93,Data!$B$2:$B$61,"51-100")/SUMIFS(Data!$C$2:$C$61,Data!$A$2:$A$61,$A93,Data!$B$2:$B$61,"51-100"))</f>
        <v>0.40084388185654</v>
      </c>
      <c r="E93" s="24" t="n">
        <f aca="false">IF($M17=1,"",SUMIFS(Data!$D$2:$D$61,Data!$A$2:$A$61,$A93,Data!$B$2:$B$61,"101-500")/SUMIFS(Data!$C$2:$C$61,Data!$A$2:$A$61,$A93,Data!$B$2:$B$61,"101-500"))</f>
        <v>0.280148423005566</v>
      </c>
      <c r="F93" s="24" t="n">
        <f aca="false">IF($M17=1,"",SUMIFS(Data!$D$2:$D$61,Data!$A$2:$A$61,$A93,Data!$B$2:$B$61,"501+")/SUMIFS(Data!$C$2:$C$61,Data!$A$2:$A$61,$A93,Data!$B$2:$B$61,"501+"))</f>
        <v>0.180952380952381</v>
      </c>
      <c r="G93" s="24" t="n">
        <f aca="false">IF($M17=1,"",SUMIFS(Data!$D$2:$D$61,Data!$A$2:$A$61,$A93)/SUMIFS(Data!$C$2:$C$61,Data!$A$2:$A$61,$A93))</f>
        <v>0.316349809885932</v>
      </c>
    </row>
    <row r="94" customFormat="false" ht="15" hidden="false" customHeight="false" outlineLevel="0" collapsed="false">
      <c r="A94" s="28" t="n">
        <f aca="false">A18</f>
        <v>44317</v>
      </c>
      <c r="B94" s="24" t="n">
        <f aca="false">IF($M18=1,"",SUMIFS(Data!$D$2:$D$61,Data!$A$2:$A$61,$A94,Data!$B$2:$B$61,"1-10")/SUMIFS(Data!$C$2:$C$61,Data!$A$2:$A$61,$A94,Data!$B$2:$B$61,"1-10"))</f>
        <v>0.375</v>
      </c>
      <c r="C94" s="24" t="n">
        <f aca="false">IF($M18=1,"",SUMIFS(Data!$D$2:$D$61,Data!$A$2:$A$61,$A94,Data!$B$2:$B$61,"11-50")/SUMIFS(Data!$C$2:$C$61,Data!$A$2:$A$61,$A94,Data!$B$2:$B$61,"11-50"))</f>
        <v>0.39010989010989</v>
      </c>
      <c r="D94" s="24" t="n">
        <f aca="false">IF($M18=1,"",SUMIFS(Data!$D$2:$D$61,Data!$A$2:$A$61,$A94,Data!$B$2:$B$61,"51-100")/SUMIFS(Data!$C$2:$C$61,Data!$A$2:$A$61,$A94,Data!$B$2:$B$61,"51-100"))</f>
        <v>0.390977443609023</v>
      </c>
      <c r="E94" s="24" t="n">
        <f aca="false">IF($M18=1,"",SUMIFS(Data!$D$2:$D$61,Data!$A$2:$A$61,$A94,Data!$B$2:$B$61,"101-500")/SUMIFS(Data!$C$2:$C$61,Data!$A$2:$A$61,$A94,Data!$B$2:$B$61,"101-500"))</f>
        <v>0.270125223613596</v>
      </c>
      <c r="F94" s="24" t="n">
        <f aca="false">IF($M18=1,"",SUMIFS(Data!$D$2:$D$61,Data!$A$2:$A$61,$A94,Data!$B$2:$B$61,"501+")/SUMIFS(Data!$C$2:$C$61,Data!$A$2:$A$61,$A94,Data!$B$2:$B$61,"501+"))</f>
        <v>0.2</v>
      </c>
      <c r="G94" s="24" t="n">
        <f aca="false">IF($M18=1,"",SUMIFS(Data!$D$2:$D$61,Data!$A$2:$A$61,$A94)/SUMIFS(Data!$C$2:$C$61,Data!$A$2:$A$61,$A94))</f>
        <v>0.303073624017155</v>
      </c>
    </row>
    <row r="95" customFormat="false" ht="15" hidden="false" customHeight="false" outlineLevel="0" collapsed="false">
      <c r="A95" s="28" t="n">
        <f aca="false">A19</f>
        <v>44348</v>
      </c>
      <c r="B95" s="24" t="n">
        <f aca="false">IF($M19=1,"",SUMIFS(Data!$D$2:$D$61,Data!$A$2:$A$61,$A95,Data!$B$2:$B$61,"1-10")/SUMIFS(Data!$C$2:$C$61,Data!$A$2:$A$61,$A95,Data!$B$2:$B$61,"1-10"))</f>
        <v>0.366336633663366</v>
      </c>
      <c r="C95" s="24" t="n">
        <f aca="false">IF($M19=1,"",SUMIFS(Data!$D$2:$D$61,Data!$A$2:$A$61,$A95,Data!$B$2:$B$61,"11-50")/SUMIFS(Data!$C$2:$C$61,Data!$A$2:$A$61,$A95,Data!$B$2:$B$61,"11-50"))</f>
        <v>0.368663594470046</v>
      </c>
      <c r="D95" s="24" t="n">
        <f aca="false">IF($M19=1,"",SUMIFS(Data!$D$2:$D$61,Data!$A$2:$A$61,$A95,Data!$B$2:$B$61,"51-100")/SUMIFS(Data!$C$2:$C$61,Data!$A$2:$A$61,$A95,Data!$B$2:$B$61,"51-100"))</f>
        <v>0.370242214532872</v>
      </c>
      <c r="E95" s="24" t="n">
        <f aca="false">IF($M19=1,"",SUMIFS(Data!$D$2:$D$61,Data!$A$2:$A$61,$A95,Data!$B$2:$B$61,"101-500")/SUMIFS(Data!$C$2:$C$61,Data!$A$2:$A$61,$A95,Data!$B$2:$B$61,"101-500"))</f>
        <v>0.25044404973357</v>
      </c>
      <c r="F95" s="24" t="n">
        <f aca="false">IF($M19=1,"",SUMIFS(Data!$D$2:$D$61,Data!$A$2:$A$61,$A95,Data!$B$2:$B$61,"501+")/SUMIFS(Data!$C$2:$C$61,Data!$A$2:$A$61,$A95,Data!$B$2:$B$61,"501+"))</f>
        <v>0.211678832116788</v>
      </c>
      <c r="G95" s="24" t="n">
        <f aca="false">IF($M19=1,"",SUMIFS(Data!$D$2:$D$61,Data!$A$2:$A$61,$A95)/SUMIFS(Data!$C$2:$C$61,Data!$A$2:$A$61,$A95))</f>
        <v>0.292936288088643</v>
      </c>
    </row>
    <row r="96" customFormat="false" ht="15" hidden="false" customHeight="false" outlineLevel="0" collapsed="false">
      <c r="A96" s="28" t="n">
        <f aca="false">A20</f>
        <v>44378</v>
      </c>
      <c r="B96" s="24" t="n">
        <f aca="false">IF($M20=1,"",SUMIFS(Data!$D$2:$D$61,Data!$A$2:$A$61,$A96,Data!$B$2:$B$61,"1-10")/SUMIFS(Data!$C$2:$C$61,Data!$A$2:$A$61,$A96,Data!$B$2:$B$61,"1-10"))</f>
        <v>0.357798165137615</v>
      </c>
      <c r="C96" s="24" t="n">
        <f aca="false">IF($M20=1,"",SUMIFS(Data!$D$2:$D$61,Data!$A$2:$A$61,$A96,Data!$B$2:$B$61,"11-50")/SUMIFS(Data!$C$2:$C$61,Data!$A$2:$A$61,$A96,Data!$B$2:$B$61,"11-50"))</f>
        <v>0.36</v>
      </c>
      <c r="D96" s="24" t="n">
        <f aca="false">IF($M20=1,"",SUMIFS(Data!$D$2:$D$61,Data!$A$2:$A$61,$A96,Data!$B$2:$B$61,"51-100")/SUMIFS(Data!$C$2:$C$61,Data!$A$2:$A$61,$A96,Data!$B$2:$B$61,"51-100"))</f>
        <v>0.368589743589744</v>
      </c>
      <c r="E96" s="24" t="n">
        <f aca="false">IF($M20=1,"",SUMIFS(Data!$D$2:$D$61,Data!$A$2:$A$61,$A96,Data!$B$2:$B$61,"101-500")/SUMIFS(Data!$C$2:$C$61,Data!$A$2:$A$61,$A96,Data!$B$2:$B$61,"101-500"))</f>
        <v>0.25</v>
      </c>
      <c r="F96" s="24" t="n">
        <f aca="false">IF($M20=1,"",SUMIFS(Data!$D$2:$D$61,Data!$A$2:$A$61,$A96,Data!$B$2:$B$61,"501+")/SUMIFS(Data!$C$2:$C$61,Data!$A$2:$A$61,$A96,Data!$B$2:$B$61,"501+"))</f>
        <v>0.188679245283019</v>
      </c>
      <c r="G96" s="24" t="n">
        <f aca="false">IF($M20=1,"",SUMIFS(Data!$D$2:$D$61,Data!$A$2:$A$61,$A96)/SUMIFS(Data!$C$2:$C$61,Data!$A$2:$A$61,$A96))</f>
        <v>0.288461538461538</v>
      </c>
    </row>
    <row r="97" customFormat="false" ht="15" hidden="false" customHeight="false" outlineLevel="0" collapsed="false">
      <c r="A97" s="28" t="n">
        <f aca="false">A21</f>
        <v>44409</v>
      </c>
      <c r="B97" s="24" t="n">
        <f aca="false">IF($M21=1,"",SUMIFS(Data!$D$2:$D$61,Data!$A$2:$A$61,$A97,Data!$B$2:$B$61,"1-10")/SUMIFS(Data!$C$2:$C$61,Data!$A$2:$A$61,$A97,Data!$B$2:$B$61,"1-10"))</f>
        <v>0.325</v>
      </c>
      <c r="C97" s="24" t="n">
        <f aca="false">IF($M21=1,"",SUMIFS(Data!$D$2:$D$61,Data!$A$2:$A$61,$A97,Data!$B$2:$B$61,"11-50")/SUMIFS(Data!$C$2:$C$61,Data!$A$2:$A$61,$A97,Data!$B$2:$B$61,"11-50"))</f>
        <v>0.358974358974359</v>
      </c>
      <c r="D97" s="24" t="n">
        <f aca="false">IF($M21=1,"",SUMIFS(Data!$D$2:$D$61,Data!$A$2:$A$61,$A97,Data!$B$2:$B$61,"51-100")/SUMIFS(Data!$C$2:$C$61,Data!$A$2:$A$61,$A97,Data!$B$2:$B$61,"51-100"))</f>
        <v>0.350819672131148</v>
      </c>
      <c r="E97" s="24" t="n">
        <f aca="false">IF($M21=1,"",SUMIFS(Data!$D$2:$D$61,Data!$A$2:$A$61,$A97,Data!$B$2:$B$61,"101-500")/SUMIFS(Data!$C$2:$C$61,Data!$A$2:$A$61,$A97,Data!$B$2:$B$61,"101-500"))</f>
        <v>0.259878419452888</v>
      </c>
      <c r="F97" s="24" t="n">
        <f aca="false">IF($M21=1,"",SUMIFS(Data!$D$2:$D$61,Data!$A$2:$A$61,$A97,Data!$B$2:$B$61,"501+")/SUMIFS(Data!$C$2:$C$61,Data!$A$2:$A$61,$A97,Data!$B$2:$B$61,"501+"))</f>
        <v>0.179930795847751</v>
      </c>
      <c r="G97" s="24" t="n">
        <f aca="false">IF($M21=1,"",SUMIFS(Data!$D$2:$D$61,Data!$A$2:$A$61,$A97)/SUMIFS(Data!$C$2:$C$61,Data!$A$2:$A$61,$A97))</f>
        <v>0.282866043613707</v>
      </c>
    </row>
    <row r="98" customFormat="false" ht="15" hidden="false" customHeight="false" outlineLevel="0" collapsed="false">
      <c r="A98" s="28" t="n">
        <f aca="false">A22</f>
        <v>44440</v>
      </c>
      <c r="B98" s="24" t="n">
        <f aca="false">IF($M22=1,"",SUMIFS(Data!$D$2:$D$61,Data!$A$2:$A$61,$A98,Data!$B$2:$B$61,"1-10")/SUMIFS(Data!$C$2:$C$61,Data!$A$2:$A$61,$A98,Data!$B$2:$B$61,"1-10"))</f>
        <v>0.353535353535354</v>
      </c>
      <c r="C98" s="24" t="n">
        <f aca="false">IF($M22=1,"",SUMIFS(Data!$D$2:$D$61,Data!$A$2:$A$61,$A98,Data!$B$2:$B$61,"11-50")/SUMIFS(Data!$C$2:$C$61,Data!$A$2:$A$61,$A98,Data!$B$2:$B$61,"11-50"))</f>
        <v>0.370967741935484</v>
      </c>
      <c r="D98" s="24" t="n">
        <f aca="false">IF($M22=1,"",SUMIFS(Data!$D$2:$D$61,Data!$A$2:$A$61,$A98,Data!$B$2:$B$61,"51-100")/SUMIFS(Data!$C$2:$C$61,Data!$A$2:$A$61,$A98,Data!$B$2:$B$61,"51-100"))</f>
        <v>0.359430604982206</v>
      </c>
      <c r="E98" s="24" t="n">
        <f aca="false">IF($M22=1,"",SUMIFS(Data!$D$2:$D$61,Data!$A$2:$A$61,$A98,Data!$B$2:$B$61,"101-500")/SUMIFS(Data!$C$2:$C$61,Data!$A$2:$A$61,$A98,Data!$B$2:$B$61,"101-500"))</f>
        <v>0.249630723781388</v>
      </c>
      <c r="F98" s="24" t="n">
        <f aca="false">IF($M22=1,"",SUMIFS(Data!$D$2:$D$61,Data!$A$2:$A$61,$A98,Data!$B$2:$B$61,"501+")/SUMIFS(Data!$C$2:$C$61,Data!$A$2:$A$61,$A98,Data!$B$2:$B$61,"501+"))</f>
        <v>0.198847262247839</v>
      </c>
      <c r="G98" s="24" t="n">
        <f aca="false">IF($M22=1,"",SUMIFS(Data!$D$2:$D$61,Data!$A$2:$A$61,$A98)/SUMIFS(Data!$C$2:$C$61,Data!$A$2:$A$61,$A98))</f>
        <v>0.282082324455206</v>
      </c>
    </row>
    <row r="99" customFormat="false" ht="15" hidden="false" customHeight="false" outlineLevel="0" collapsed="false">
      <c r="A99" s="28" t="n">
        <f aca="false">A23</f>
        <v>44470</v>
      </c>
      <c r="B99" s="24" t="n">
        <f aca="false">IF($M23=1,"",SUMIFS(Data!$D$2:$D$61,Data!$A$2:$A$61,$A99,Data!$B$2:$B$61,"1-10")/SUMIFS(Data!$C$2:$C$61,Data!$A$2:$A$61,$A99,Data!$B$2:$B$61,"1-10"))</f>
        <v>0.372340425531915</v>
      </c>
      <c r="C99" s="24" t="n">
        <f aca="false">IF($M23=1,"",SUMIFS(Data!$D$2:$D$61,Data!$A$2:$A$61,$A99,Data!$B$2:$B$61,"11-50")/SUMIFS(Data!$C$2:$C$61,Data!$A$2:$A$61,$A99,Data!$B$2:$B$61,"11-50"))</f>
        <v>0.361216730038023</v>
      </c>
      <c r="D99" s="24" t="n">
        <f aca="false">IF($M23=1,"",SUMIFS(Data!$D$2:$D$61,Data!$A$2:$A$61,$A99,Data!$B$2:$B$61,"51-100")/SUMIFS(Data!$C$2:$C$61,Data!$A$2:$A$61,$A99,Data!$B$2:$B$61,"51-100"))</f>
        <v>0.349112426035503</v>
      </c>
      <c r="E99" s="24" t="n">
        <f aca="false">IF($M23=1,"",SUMIFS(Data!$D$2:$D$61,Data!$A$2:$A$61,$A99,Data!$B$2:$B$61,"101-500")/SUMIFS(Data!$C$2:$C$61,Data!$A$2:$A$61,$A99,Data!$B$2:$B$61,"101-500"))</f>
        <v>0.260152284263959</v>
      </c>
      <c r="F99" s="24" t="n">
        <f aca="false">IF($M23=1,"",SUMIFS(Data!$D$2:$D$61,Data!$A$2:$A$61,$A99,Data!$B$2:$B$61,"501+")/SUMIFS(Data!$C$2:$C$61,Data!$A$2:$A$61,$A99,Data!$B$2:$B$61,"501+"))</f>
        <v>0.190355329949239</v>
      </c>
      <c r="G99" s="24" t="n">
        <f aca="false">IF($M23=1,"",SUMIFS(Data!$D$2:$D$61,Data!$A$2:$A$61,$A99)/SUMIFS(Data!$C$2:$C$61,Data!$A$2:$A$61,$A99))</f>
        <v>0.281299946723495</v>
      </c>
    </row>
    <row r="100" customFormat="false" ht="15" hidden="false" customHeight="false" outlineLevel="0" collapsed="false">
      <c r="A100" s="28" t="n">
        <f aca="false">A24</f>
        <v>44501</v>
      </c>
      <c r="B100" s="24" t="str">
        <f aca="false">IF($M24=1,"",SUMIFS(Data!$D$2:$D$61,Data!$A$2:$A$61,$A100,Data!$B$2:$B$61,"1-10")/SUMIFS(Data!$C$2:$C$61,Data!$A$2:$A$61,$A100,Data!$B$2:$B$61,"1-10"))</f>
        <v/>
      </c>
      <c r="C100" s="24" t="str">
        <f aca="false">IF($M24=1,"",SUMIFS(Data!$D$2:$D$61,Data!$A$2:$A$61,$A100,Data!$B$2:$B$61,"11-50")/SUMIFS(Data!$C$2:$C$61,Data!$A$2:$A$61,$A100,Data!$B$2:$B$61,"11-50"))</f>
        <v/>
      </c>
      <c r="D100" s="24" t="str">
        <f aca="false">IF($M24=1,"",SUMIFS(Data!$D$2:$D$61,Data!$A$2:$A$61,$A100,Data!$B$2:$B$61,"51-100")/SUMIFS(Data!$C$2:$C$61,Data!$A$2:$A$61,$A100,Data!$B$2:$B$61,"51-100"))</f>
        <v/>
      </c>
      <c r="E100" s="24" t="str">
        <f aca="false">IF($M24=1,"",SUMIFS(Data!$D$2:$D$61,Data!$A$2:$A$61,$A100,Data!$B$2:$B$61,"101-500")/SUMIFS(Data!$C$2:$C$61,Data!$A$2:$A$61,$A100,Data!$B$2:$B$61,"101-500"))</f>
        <v/>
      </c>
      <c r="F100" s="24" t="str">
        <f aca="false">IF($M24=1,"",SUMIFS(Data!$D$2:$D$61,Data!$A$2:$A$61,$A100,Data!$B$2:$B$61,"501+")/SUMIFS(Data!$C$2:$C$61,Data!$A$2:$A$61,$A100,Data!$B$2:$B$61,"501+"))</f>
        <v/>
      </c>
      <c r="G100" s="24" t="str">
        <f aca="false">IF($M24=1,"",SUMIFS(Data!$D$2:$D$61,Data!$A$2:$A$61,$A100)/SUMIFS(Data!$C$2:$C$61,Data!$A$2:$A$61,$A100))</f>
        <v/>
      </c>
    </row>
    <row r="101" customFormat="false" ht="15" hidden="false" customHeight="false" outlineLevel="0" collapsed="false">
      <c r="A101" s="28" t="n">
        <f aca="false">A25</f>
        <v>44531</v>
      </c>
      <c r="B101" s="24" t="str">
        <f aca="false">IF($M25=1,"",SUMIFS(Data!$D$2:$D$61,Data!$A$2:$A$61,$A101,Data!$B$2:$B$61,"1-10")/SUMIFS(Data!$C$2:$C$61,Data!$A$2:$A$61,$A101,Data!$B$2:$B$61,"1-10"))</f>
        <v/>
      </c>
      <c r="C101" s="24" t="str">
        <f aca="false">IF($M25=1,"",SUMIFS(Data!$D$2:$D$61,Data!$A$2:$A$61,$A101,Data!$B$2:$B$61,"11-50")/SUMIFS(Data!$C$2:$C$61,Data!$A$2:$A$61,$A101,Data!$B$2:$B$61,"11-50"))</f>
        <v/>
      </c>
      <c r="D101" s="24" t="str">
        <f aca="false">IF($M25=1,"",SUMIFS(Data!$D$2:$D$61,Data!$A$2:$A$61,$A101,Data!$B$2:$B$61,"51-100")/SUMIFS(Data!$C$2:$C$61,Data!$A$2:$A$61,$A101,Data!$B$2:$B$61,"51-100"))</f>
        <v/>
      </c>
      <c r="E101" s="24" t="str">
        <f aca="false">IF($M25=1,"",SUMIFS(Data!$D$2:$D$61,Data!$A$2:$A$61,$A101,Data!$B$2:$B$61,"101-500")/SUMIFS(Data!$C$2:$C$61,Data!$A$2:$A$61,$A101,Data!$B$2:$B$61,"101-500"))</f>
        <v/>
      </c>
      <c r="F101" s="24" t="str">
        <f aca="false">IF($M25=1,"",SUMIFS(Data!$D$2:$D$61,Data!$A$2:$A$61,$A101,Data!$B$2:$B$61,"501+")/SUMIFS(Data!$C$2:$C$61,Data!$A$2:$A$61,$A101,Data!$B$2:$B$61,"501+"))</f>
        <v/>
      </c>
      <c r="G101" s="24" t="str">
        <f aca="false">IF($M25=1,"",SUMIFS(Data!$D$2:$D$61,Data!$A$2:$A$61,$A101)/SUMIFS(Data!$C$2:$C$61,Data!$A$2:$A$61,$A101))</f>
        <v/>
      </c>
    </row>
    <row r="102" customFormat="false" ht="15" hidden="false" customHeight="false" outlineLevel="0" collapsed="false">
      <c r="A102" s="28" t="n">
        <f aca="false">A26</f>
        <v>44562</v>
      </c>
      <c r="B102" s="24" t="n">
        <f aca="false">IF($M26=1,"",SUMIFS(Data!$D$2:$D$61,Data!$A$2:$A$61,$A102,Data!$B$2:$B$61,"1-10")/SUMIFS(Data!$C$2:$C$61,Data!$A$2:$A$61,$A102,Data!$B$2:$B$61,"1-10"))</f>
        <v>0.375</v>
      </c>
      <c r="C102" s="24" t="n">
        <f aca="false">IF($M26=1,"",SUMIFS(Data!$D$2:$D$61,Data!$A$2:$A$61,$A102,Data!$B$2:$B$61,"11-50")/SUMIFS(Data!$C$2:$C$61,Data!$A$2:$A$61,$A102,Data!$B$2:$B$61,"11-50"))</f>
        <v>0.369477911646586</v>
      </c>
      <c r="D102" s="24" t="n">
        <f aca="false">IF($M26=1,"",SUMIFS(Data!$D$2:$D$61,Data!$A$2:$A$61,$A102,Data!$B$2:$B$61,"51-100")/SUMIFS(Data!$C$2:$C$61,Data!$A$2:$A$61,$A102,Data!$B$2:$B$61,"51-100"))</f>
        <v>0.339425587467363</v>
      </c>
      <c r="E102" s="24" t="n">
        <f aca="false">IF($M26=1,"",SUMIFS(Data!$D$2:$D$61,Data!$A$2:$A$61,$A102,Data!$B$2:$B$61,"101-500")/SUMIFS(Data!$C$2:$C$61,Data!$A$2:$A$61,$A102,Data!$B$2:$B$61,"101-500"))</f>
        <v>0.24968152866242</v>
      </c>
      <c r="F102" s="24" t="n">
        <f aca="false">IF($M26=1,"",SUMIFS(Data!$D$2:$D$61,Data!$A$2:$A$61,$A102,Data!$B$2:$B$61,"501+")/SUMIFS(Data!$C$2:$C$61,Data!$A$2:$A$61,$A102,Data!$B$2:$B$61,"501+"))</f>
        <v>0.208955223880597</v>
      </c>
      <c r="G102" s="24" t="n">
        <f aca="false">IF($M26=1,"",SUMIFS(Data!$D$2:$D$61,Data!$A$2:$A$61,$A102)/SUMIFS(Data!$C$2:$C$61,Data!$A$2:$A$61,$A102))</f>
        <v>0.280939947780679</v>
      </c>
    </row>
    <row r="104" customFormat="false" ht="15" hidden="false" customHeight="false" outlineLevel="0" collapsed="false">
      <c r="A104" s="8" t="s">
        <v>202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customFormat="false" ht="30" hidden="false" customHeight="true" outlineLevel="0" collapsed="false">
      <c r="A105" s="18" t="s">
        <v>142</v>
      </c>
      <c r="B105" s="18" t="s">
        <v>158</v>
      </c>
      <c r="C105" s="18" t="s">
        <v>159</v>
      </c>
      <c r="D105" s="18" t="s">
        <v>160</v>
      </c>
      <c r="E105" s="18" t="s">
        <v>161</v>
      </c>
      <c r="F105" s="18" t="s">
        <v>162</v>
      </c>
      <c r="G105" s="18" t="s">
        <v>194</v>
      </c>
    </row>
    <row r="106" customFormat="false" ht="15" hidden="false" customHeight="false" outlineLevel="0" collapsed="false">
      <c r="A106" s="28" t="n">
        <f aca="false">A15</f>
        <v>44228</v>
      </c>
      <c r="B106" s="22" t="n">
        <f aca="false">IF($M15=1,"",SUMIFS(Data!$C$2:$C$61,Data!$A$2:$A$61,$A106,Data!$B$2:$B$61,"1-10"))</f>
        <v>127</v>
      </c>
      <c r="C106" s="22" t="n">
        <f aca="false">IF($M15=1,"",SUMIFS(Data!$C$2:$C$61,Data!$A$2:$A$61,$A106,Data!$B$2:$B$61,"11-50"))</f>
        <v>208</v>
      </c>
      <c r="D106" s="22" t="n">
        <f aca="false">IF($M15=1,"",SUMIFS(Data!$C$2:$C$61,Data!$A$2:$A$61,$A106,Data!$B$2:$B$61,"51-100"))</f>
        <v>231</v>
      </c>
      <c r="E106" s="22" t="n">
        <f aca="false">IF($M15=1,"",SUMIFS(Data!$C$2:$C$61,Data!$A$2:$A$61,$A106,Data!$B$2:$B$61,"101-500"))</f>
        <v>462</v>
      </c>
      <c r="F106" s="22" t="n">
        <f aca="false">IF($M15=1,"",SUMIFS(Data!$C$2:$C$61,Data!$A$2:$A$61,$A106,Data!$B$2:$B$61,"501+"))</f>
        <v>127</v>
      </c>
      <c r="G106" s="22" t="n">
        <f aca="false">IF($M15=1,"",SUMIFS(Data!$C$2:$C$61,Data!$A$2:$A$61,$A106))</f>
        <v>1155</v>
      </c>
    </row>
    <row r="107" customFormat="false" ht="15" hidden="false" customHeight="false" outlineLevel="0" collapsed="false">
      <c r="A107" s="28" t="n">
        <f aca="false">A16</f>
        <v>44256</v>
      </c>
      <c r="B107" s="22" t="n">
        <f aca="false">IF($M16=1,"",SUMIFS(Data!$C$2:$C$61,Data!$A$2:$A$61,$A107,Data!$B$2:$B$61,"1-10"))</f>
        <v>109</v>
      </c>
      <c r="C107" s="22" t="n">
        <f aca="false">IF($M16=1,"",SUMIFS(Data!$C$2:$C$61,Data!$A$2:$A$61,$A107,Data!$B$2:$B$61,"11-50"))</f>
        <v>170</v>
      </c>
      <c r="D107" s="22" t="n">
        <f aca="false">IF($M16=1,"",SUMIFS(Data!$C$2:$C$61,Data!$A$2:$A$61,$A107,Data!$B$2:$B$61,"51-100"))</f>
        <v>231</v>
      </c>
      <c r="E107" s="22" t="n">
        <f aca="false">IF($M16=1,"",SUMIFS(Data!$C$2:$C$61,Data!$A$2:$A$61,$A107,Data!$B$2:$B$61,"101-500"))</f>
        <v>510</v>
      </c>
      <c r="F107" s="22" t="n">
        <f aca="false">IF($M16=1,"",SUMIFS(Data!$C$2:$C$61,Data!$A$2:$A$61,$A107,Data!$B$2:$B$61,"501+"))</f>
        <v>194</v>
      </c>
      <c r="G107" s="22" t="n">
        <f aca="false">IF($M16=1,"",SUMIFS(Data!$C$2:$C$61,Data!$A$2:$A$61,$A107))</f>
        <v>1214</v>
      </c>
    </row>
    <row r="108" customFormat="false" ht="15" hidden="false" customHeight="false" outlineLevel="0" collapsed="false">
      <c r="A108" s="28" t="n">
        <f aca="false">A17</f>
        <v>44287</v>
      </c>
      <c r="B108" s="22" t="n">
        <f aca="false">IF($M17=1,"",SUMIFS(Data!$C$2:$C$61,Data!$A$2:$A$61,$A108,Data!$B$2:$B$61,"1-10"))</f>
        <v>132</v>
      </c>
      <c r="C108" s="22" t="n">
        <f aca="false">IF($M17=1,"",SUMIFS(Data!$C$2:$C$61,Data!$A$2:$A$61,$A108,Data!$B$2:$B$61,"11-50"))</f>
        <v>197</v>
      </c>
      <c r="D108" s="22" t="n">
        <f aca="false">IF($M17=1,"",SUMIFS(Data!$C$2:$C$61,Data!$A$2:$A$61,$A108,Data!$B$2:$B$61,"51-100"))</f>
        <v>237</v>
      </c>
      <c r="E108" s="22" t="n">
        <f aca="false">IF($M17=1,"",SUMIFS(Data!$C$2:$C$61,Data!$A$2:$A$61,$A108,Data!$B$2:$B$61,"101-500"))</f>
        <v>539</v>
      </c>
      <c r="F108" s="22" t="n">
        <f aca="false">IF($M17=1,"",SUMIFS(Data!$C$2:$C$61,Data!$A$2:$A$61,$A108,Data!$B$2:$B$61,"501+"))</f>
        <v>210</v>
      </c>
      <c r="G108" s="22" t="n">
        <f aca="false">IF($M17=1,"",SUMIFS(Data!$C$2:$C$61,Data!$A$2:$A$61,$A108))</f>
        <v>1315</v>
      </c>
    </row>
    <row r="109" customFormat="false" ht="15" hidden="false" customHeight="false" outlineLevel="0" collapsed="false">
      <c r="A109" s="28" t="n">
        <f aca="false">A18</f>
        <v>44317</v>
      </c>
      <c r="B109" s="22" t="n">
        <f aca="false">IF($M18=1,"",SUMIFS(Data!$C$2:$C$61,Data!$A$2:$A$61,$A109,Data!$B$2:$B$61,"1-10"))</f>
        <v>112</v>
      </c>
      <c r="C109" s="22" t="n">
        <f aca="false">IF($M18=1,"",SUMIFS(Data!$C$2:$C$61,Data!$A$2:$A$61,$A109,Data!$B$2:$B$61,"11-50"))</f>
        <v>182</v>
      </c>
      <c r="D109" s="22" t="n">
        <f aca="false">IF($M18=1,"",SUMIFS(Data!$C$2:$C$61,Data!$A$2:$A$61,$A109,Data!$B$2:$B$61,"51-100"))</f>
        <v>266</v>
      </c>
      <c r="E109" s="22" t="n">
        <f aca="false">IF($M18=1,"",SUMIFS(Data!$C$2:$C$61,Data!$A$2:$A$61,$A109,Data!$B$2:$B$61,"101-500"))</f>
        <v>559</v>
      </c>
      <c r="F109" s="22" t="n">
        <f aca="false">IF($M18=1,"",SUMIFS(Data!$C$2:$C$61,Data!$A$2:$A$61,$A109,Data!$B$2:$B$61,"501+"))</f>
        <v>280</v>
      </c>
      <c r="G109" s="22" t="n">
        <f aca="false">IF($M18=1,"",SUMIFS(Data!$C$2:$C$61,Data!$A$2:$A$61,$A109))</f>
        <v>1399</v>
      </c>
    </row>
    <row r="110" customFormat="false" ht="15" hidden="false" customHeight="false" outlineLevel="0" collapsed="false">
      <c r="A110" s="28" t="n">
        <f aca="false">A19</f>
        <v>44348</v>
      </c>
      <c r="B110" s="22" t="n">
        <f aca="false">IF($M19=1,"",SUMIFS(Data!$C$2:$C$61,Data!$A$2:$A$61,$A110,Data!$B$2:$B$61,"1-10"))</f>
        <v>101</v>
      </c>
      <c r="C110" s="22" t="n">
        <f aca="false">IF($M19=1,"",SUMIFS(Data!$C$2:$C$61,Data!$A$2:$A$61,$A110,Data!$B$2:$B$61,"11-50"))</f>
        <v>217</v>
      </c>
      <c r="D110" s="22" t="n">
        <f aca="false">IF($M19=1,"",SUMIFS(Data!$C$2:$C$61,Data!$A$2:$A$61,$A110,Data!$B$2:$B$61,"51-100"))</f>
        <v>289</v>
      </c>
      <c r="E110" s="22" t="n">
        <f aca="false">IF($M19=1,"",SUMIFS(Data!$C$2:$C$61,Data!$A$2:$A$61,$A110,Data!$B$2:$B$61,"101-500"))</f>
        <v>563</v>
      </c>
      <c r="F110" s="22" t="n">
        <f aca="false">IF($M19=1,"",SUMIFS(Data!$C$2:$C$61,Data!$A$2:$A$61,$A110,Data!$B$2:$B$61,"501+"))</f>
        <v>274</v>
      </c>
      <c r="G110" s="22" t="n">
        <f aca="false">IF($M19=1,"",SUMIFS(Data!$C$2:$C$61,Data!$A$2:$A$61,$A110))</f>
        <v>1444</v>
      </c>
    </row>
    <row r="111" customFormat="false" ht="15" hidden="false" customHeight="false" outlineLevel="0" collapsed="false">
      <c r="A111" s="28" t="n">
        <f aca="false">A20</f>
        <v>44378</v>
      </c>
      <c r="B111" s="22" t="n">
        <f aca="false">IF($M20=1,"",SUMIFS(Data!$C$2:$C$61,Data!$A$2:$A$61,$A111,Data!$B$2:$B$61,"1-10"))</f>
        <v>109</v>
      </c>
      <c r="C111" s="22" t="n">
        <f aca="false">IF($M20=1,"",SUMIFS(Data!$C$2:$C$61,Data!$A$2:$A$61,$A111,Data!$B$2:$B$61,"11-50"))</f>
        <v>250</v>
      </c>
      <c r="D111" s="22" t="n">
        <f aca="false">IF($M20=1,"",SUMIFS(Data!$C$2:$C$61,Data!$A$2:$A$61,$A111,Data!$B$2:$B$61,"51-100"))</f>
        <v>312</v>
      </c>
      <c r="E111" s="22" t="n">
        <f aca="false">IF($M20=1,"",SUMIFS(Data!$C$2:$C$61,Data!$A$2:$A$61,$A111,Data!$B$2:$B$61,"101-500"))</f>
        <v>624</v>
      </c>
      <c r="F111" s="22" t="n">
        <f aca="false">IF($M20=1,"",SUMIFS(Data!$C$2:$C$61,Data!$A$2:$A$61,$A111,Data!$B$2:$B$61,"501+"))</f>
        <v>265</v>
      </c>
      <c r="G111" s="22" t="n">
        <f aca="false">IF($M20=1,"",SUMIFS(Data!$C$2:$C$61,Data!$A$2:$A$61,$A111))</f>
        <v>1560</v>
      </c>
    </row>
    <row r="112" customFormat="false" ht="15" hidden="false" customHeight="false" outlineLevel="0" collapsed="false">
      <c r="A112" s="28" t="n">
        <f aca="false">A21</f>
        <v>44409</v>
      </c>
      <c r="B112" s="22" t="n">
        <f aca="false">IF($M21=1,"",SUMIFS(Data!$C$2:$C$61,Data!$A$2:$A$61,$A112,Data!$B$2:$B$61,"1-10"))</f>
        <v>80</v>
      </c>
      <c r="C112" s="22" t="n">
        <f aca="false">IF($M21=1,"",SUMIFS(Data!$C$2:$C$61,Data!$A$2:$A$61,$A112,Data!$B$2:$B$61,"11-50"))</f>
        <v>273</v>
      </c>
      <c r="D112" s="22" t="n">
        <f aca="false">IF($M21=1,"",SUMIFS(Data!$C$2:$C$61,Data!$A$2:$A$61,$A112,Data!$B$2:$B$61,"51-100"))</f>
        <v>305</v>
      </c>
      <c r="E112" s="22" t="n">
        <f aca="false">IF($M21=1,"",SUMIFS(Data!$C$2:$C$61,Data!$A$2:$A$61,$A112,Data!$B$2:$B$61,"101-500"))</f>
        <v>658</v>
      </c>
      <c r="F112" s="22" t="n">
        <f aca="false">IF($M21=1,"",SUMIFS(Data!$C$2:$C$61,Data!$A$2:$A$61,$A112,Data!$B$2:$B$61,"501+"))</f>
        <v>289</v>
      </c>
      <c r="G112" s="22" t="n">
        <f aca="false">IF($M21=1,"",SUMIFS(Data!$C$2:$C$61,Data!$A$2:$A$61,$A112))</f>
        <v>1605</v>
      </c>
    </row>
    <row r="113" customFormat="false" ht="15" hidden="false" customHeight="false" outlineLevel="0" collapsed="false">
      <c r="A113" s="28" t="n">
        <f aca="false">A22</f>
        <v>44440</v>
      </c>
      <c r="B113" s="22" t="n">
        <f aca="false">IF($M22=1,"",SUMIFS(Data!$C$2:$C$61,Data!$A$2:$A$61,$A113,Data!$B$2:$B$61,"1-10"))</f>
        <v>99</v>
      </c>
      <c r="C113" s="22" t="n">
        <f aca="false">IF($M22=1,"",SUMIFS(Data!$C$2:$C$61,Data!$A$2:$A$61,$A113,Data!$B$2:$B$61,"11-50"))</f>
        <v>248</v>
      </c>
      <c r="D113" s="22" t="n">
        <f aca="false">IF($M22=1,"",SUMIFS(Data!$C$2:$C$61,Data!$A$2:$A$61,$A113,Data!$B$2:$B$61,"51-100"))</f>
        <v>281</v>
      </c>
      <c r="E113" s="22" t="n">
        <f aca="false">IF($M22=1,"",SUMIFS(Data!$C$2:$C$61,Data!$A$2:$A$61,$A113,Data!$B$2:$B$61,"101-500"))</f>
        <v>677</v>
      </c>
      <c r="F113" s="22" t="n">
        <f aca="false">IF($M22=1,"",SUMIFS(Data!$C$2:$C$61,Data!$A$2:$A$61,$A113,Data!$B$2:$B$61,"501+"))</f>
        <v>347</v>
      </c>
      <c r="G113" s="22" t="n">
        <f aca="false">IF($M22=1,"",SUMIFS(Data!$C$2:$C$61,Data!$A$2:$A$61,$A113))</f>
        <v>1652</v>
      </c>
    </row>
    <row r="114" customFormat="false" ht="15" hidden="false" customHeight="false" outlineLevel="0" collapsed="false">
      <c r="A114" s="28" t="n">
        <f aca="false">A23</f>
        <v>44470</v>
      </c>
      <c r="B114" s="22" t="n">
        <f aca="false">IF($M23=1,"",SUMIFS(Data!$C$2:$C$61,Data!$A$2:$A$61,$A114,Data!$B$2:$B$61,"1-10"))</f>
        <v>94</v>
      </c>
      <c r="C114" s="22" t="n">
        <f aca="false">IF($M23=1,"",SUMIFS(Data!$C$2:$C$61,Data!$A$2:$A$61,$A114,Data!$B$2:$B$61,"11-50"))</f>
        <v>263</v>
      </c>
      <c r="D114" s="22" t="n">
        <f aca="false">IF($M23=1,"",SUMIFS(Data!$C$2:$C$61,Data!$A$2:$A$61,$A114,Data!$B$2:$B$61,"51-100"))</f>
        <v>338</v>
      </c>
      <c r="E114" s="22" t="n">
        <f aca="false">IF($M23=1,"",SUMIFS(Data!$C$2:$C$61,Data!$A$2:$A$61,$A114,Data!$B$2:$B$61,"101-500"))</f>
        <v>788</v>
      </c>
      <c r="F114" s="22" t="n">
        <f aca="false">IF($M23=1,"",SUMIFS(Data!$C$2:$C$61,Data!$A$2:$A$61,$A114,Data!$B$2:$B$61,"501+"))</f>
        <v>394</v>
      </c>
      <c r="G114" s="22" t="n">
        <f aca="false">IF($M23=1,"",SUMIFS(Data!$C$2:$C$61,Data!$A$2:$A$61,$A114))</f>
        <v>1877</v>
      </c>
    </row>
    <row r="115" customFormat="false" ht="15" hidden="false" customHeight="false" outlineLevel="0" collapsed="false">
      <c r="A115" s="28" t="n">
        <f aca="false">A24</f>
        <v>44501</v>
      </c>
      <c r="B115" s="22" t="str">
        <f aca="false">IF($M24=1,"",SUMIFS(Data!$C$2:$C$61,Data!$A$2:$A$61,$A115,Data!$B$2:$B$61,"1-10"))</f>
        <v/>
      </c>
      <c r="C115" s="22" t="str">
        <f aca="false">IF($M24=1,"",SUMIFS(Data!$C$2:$C$61,Data!$A$2:$A$61,$A115,Data!$B$2:$B$61,"11-50"))</f>
        <v/>
      </c>
      <c r="D115" s="22" t="str">
        <f aca="false">IF($M24=1,"",SUMIFS(Data!$C$2:$C$61,Data!$A$2:$A$61,$A115,Data!$B$2:$B$61,"51-100"))</f>
        <v/>
      </c>
      <c r="E115" s="22" t="str">
        <f aca="false">IF($M24=1,"",SUMIFS(Data!$C$2:$C$61,Data!$A$2:$A$61,$A115,Data!$B$2:$B$61,"101-500"))</f>
        <v/>
      </c>
      <c r="F115" s="22" t="str">
        <f aca="false">IF($M24=1,"",SUMIFS(Data!$C$2:$C$61,Data!$A$2:$A$61,$A115,Data!$B$2:$B$61,"501+"))</f>
        <v/>
      </c>
      <c r="G115" s="22" t="str">
        <f aca="false">IF($M24=1,"",SUMIFS(Data!$C$2:$C$61,Data!$A$2:$A$61,$A115))</f>
        <v/>
      </c>
    </row>
    <row r="116" customFormat="false" ht="15" hidden="false" customHeight="false" outlineLevel="0" collapsed="false">
      <c r="A116" s="28" t="n">
        <f aca="false">A25</f>
        <v>44531</v>
      </c>
      <c r="B116" s="22" t="str">
        <f aca="false">IF($M25=1,"",SUMIFS(Data!$C$2:$C$61,Data!$A$2:$A$61,$A116,Data!$B$2:$B$61,"1-10"))</f>
        <v/>
      </c>
      <c r="C116" s="22" t="str">
        <f aca="false">IF($M25=1,"",SUMIFS(Data!$C$2:$C$61,Data!$A$2:$A$61,$A116,Data!$B$2:$B$61,"11-50"))</f>
        <v/>
      </c>
      <c r="D116" s="22" t="str">
        <f aca="false">IF($M25=1,"",SUMIFS(Data!$C$2:$C$61,Data!$A$2:$A$61,$A116,Data!$B$2:$B$61,"51-100"))</f>
        <v/>
      </c>
      <c r="E116" s="22" t="str">
        <f aca="false">IF($M25=1,"",SUMIFS(Data!$C$2:$C$61,Data!$A$2:$A$61,$A116,Data!$B$2:$B$61,"101-500"))</f>
        <v/>
      </c>
      <c r="F116" s="22" t="str">
        <f aca="false">IF($M25=1,"",SUMIFS(Data!$C$2:$C$61,Data!$A$2:$A$61,$A116,Data!$B$2:$B$61,"501+"))</f>
        <v/>
      </c>
      <c r="G116" s="22" t="str">
        <f aca="false">IF($M25=1,"",SUMIFS(Data!$C$2:$C$61,Data!$A$2:$A$61,$A116))</f>
        <v/>
      </c>
    </row>
    <row r="117" customFormat="false" ht="15" hidden="false" customHeight="false" outlineLevel="0" collapsed="false">
      <c r="A117" s="28" t="n">
        <f aca="false">A26</f>
        <v>44562</v>
      </c>
      <c r="B117" s="22" t="n">
        <f aca="false">IF($M26=1,"",SUMIFS(Data!$C$2:$C$61,Data!$A$2:$A$61,$A117,Data!$B$2:$B$61,"1-10"))</f>
        <v>96</v>
      </c>
      <c r="C117" s="22" t="n">
        <f aca="false">IF($M26=1,"",SUMIFS(Data!$C$2:$C$61,Data!$A$2:$A$61,$A117,Data!$B$2:$B$61,"11-50"))</f>
        <v>249</v>
      </c>
      <c r="D117" s="22" t="n">
        <f aca="false">IF($M26=1,"",SUMIFS(Data!$C$2:$C$61,Data!$A$2:$A$61,$A117,Data!$B$2:$B$61,"51-100"))</f>
        <v>383</v>
      </c>
      <c r="E117" s="22" t="n">
        <f aca="false">IF($M26=1,"",SUMIFS(Data!$C$2:$C$61,Data!$A$2:$A$61,$A117,Data!$B$2:$B$61,"101-500"))</f>
        <v>785</v>
      </c>
      <c r="F117" s="22" t="n">
        <f aca="false">IF($M26=1,"",SUMIFS(Data!$C$2:$C$61,Data!$A$2:$A$61,$A117,Data!$B$2:$B$61,"501+"))</f>
        <v>402</v>
      </c>
      <c r="G117" s="22" t="n">
        <f aca="false">IF($M26=1,"",SUMIFS(Data!$C$2:$C$61,Data!$A$2:$A$61,$A117))</f>
        <v>1915</v>
      </c>
    </row>
    <row r="119" customFormat="false" ht="15" hidden="false" customHeight="false" outlineLevel="0" collapsed="false">
      <c r="A119" s="8" t="s">
        <v>203</v>
      </c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customFormat="false" ht="30" hidden="false" customHeight="true" outlineLevel="0" collapsed="false">
      <c r="A120" s="18" t="s">
        <v>204</v>
      </c>
      <c r="B120" s="18" t="s">
        <v>158</v>
      </c>
      <c r="C120" s="18" t="s">
        <v>159</v>
      </c>
      <c r="D120" s="18" t="s">
        <v>160</v>
      </c>
      <c r="E120" s="18" t="s">
        <v>161</v>
      </c>
      <c r="F120" s="18" t="s">
        <v>162</v>
      </c>
      <c r="G120" s="18" t="s">
        <v>194</v>
      </c>
      <c r="H120" s="18" t="s">
        <v>205</v>
      </c>
    </row>
    <row r="121" customFormat="false" ht="15" hidden="false" customHeight="false" outlineLevel="0" collapsed="false">
      <c r="A121" s="6" t="s">
        <v>206</v>
      </c>
      <c r="B121" s="22" t="n">
        <f aca="false">B46</f>
        <v>127</v>
      </c>
      <c r="C121" s="22" t="n">
        <f aca="false">C46</f>
        <v>208</v>
      </c>
      <c r="D121" s="22" t="n">
        <f aca="false">D46</f>
        <v>231</v>
      </c>
      <c r="E121" s="22" t="n">
        <f aca="false">E46</f>
        <v>462</v>
      </c>
      <c r="F121" s="22" t="n">
        <f aca="false">F46</f>
        <v>127</v>
      </c>
      <c r="G121" s="22" t="n">
        <f aca="false">G46</f>
        <v>1155</v>
      </c>
    </row>
    <row r="122" customFormat="false" ht="15" hidden="false" customHeight="false" outlineLevel="0" collapsed="false">
      <c r="A122" s="6" t="s">
        <v>207</v>
      </c>
      <c r="B122" s="22" t="n">
        <f aca="false">B57</f>
        <v>96</v>
      </c>
      <c r="C122" s="22" t="n">
        <f aca="false">C57</f>
        <v>249</v>
      </c>
      <c r="D122" s="22" t="n">
        <f aca="false">D57</f>
        <v>383</v>
      </c>
      <c r="E122" s="22" t="n">
        <f aca="false">E57</f>
        <v>785</v>
      </c>
      <c r="F122" s="22" t="n">
        <f aca="false">F57</f>
        <v>402</v>
      </c>
      <c r="G122" s="22" t="n">
        <f aca="false">G57</f>
        <v>1915</v>
      </c>
    </row>
    <row r="123" customFormat="false" ht="15" hidden="false" customHeight="false" outlineLevel="0" collapsed="false">
      <c r="A123" s="6" t="s">
        <v>208</v>
      </c>
      <c r="B123" s="24" t="n">
        <f aca="false">B122/B121-1</f>
        <v>-0.244094488188976</v>
      </c>
      <c r="C123" s="24" t="n">
        <f aca="false">C122/C121-1</f>
        <v>0.197115384615385</v>
      </c>
      <c r="D123" s="24" t="n">
        <f aca="false">D122/D121-1</f>
        <v>0.658008658008658</v>
      </c>
      <c r="E123" s="24" t="n">
        <f aca="false">E122/E121-1</f>
        <v>0.699134199134199</v>
      </c>
      <c r="F123" s="24" t="n">
        <f aca="false">F122/F121-1</f>
        <v>2.16535433070866</v>
      </c>
      <c r="G123" s="24" t="n">
        <f aca="false">G122/G121-1</f>
        <v>0.658008658008658</v>
      </c>
    </row>
    <row r="124" customFormat="false" ht="15" hidden="false" customHeight="false" outlineLevel="0" collapsed="false">
      <c r="A124" s="6" t="s">
        <v>209</v>
      </c>
      <c r="B124" s="23" t="n">
        <f aca="false">SUMIFS(Data!$G$2:$G$61,Data!$A$2:$A$61,$A$15,Data!$B$2:$B$61,"1-10")</f>
        <v>43406</v>
      </c>
      <c r="C124" s="23" t="n">
        <f aca="false">SUMIFS(Data!$G$2:$G$61,Data!$A$2:$A$61,$A$15,Data!$B$2:$B$61,"11-50")</f>
        <v>90266</v>
      </c>
      <c r="D124" s="23" t="n">
        <f aca="false">SUMIFS(Data!$G$2:$G$61,Data!$A$2:$A$61,$A$15,Data!$B$2:$B$61,"51-100")</f>
        <v>228974</v>
      </c>
      <c r="E124" s="23" t="n">
        <f aca="false">SUMIFS(Data!$G$2:$G$61,Data!$A$2:$A$61,$A$15,Data!$B$2:$B$61,"101-500")</f>
        <v>273899</v>
      </c>
      <c r="F124" s="23" t="n">
        <f aca="false">SUMIFS(Data!$G$2:$G$61,Data!$A$2:$A$61,$A$15,Data!$B$2:$B$61,"501+")</f>
        <v>53825</v>
      </c>
      <c r="G124" s="23" t="n">
        <f aca="false">SUMIFS(Data!$G$2:$G$61,Data!$A$2:$A$61,$A$15)</f>
        <v>690370</v>
      </c>
    </row>
    <row r="125" customFormat="false" ht="15" hidden="false" customHeight="false" outlineLevel="0" collapsed="false">
      <c r="A125" s="6" t="s">
        <v>210</v>
      </c>
      <c r="B125" s="23" t="n">
        <f aca="false">SUMIFS(Data!$G$2:$G$61,Data!$A$2:$A$61,$A$26,Data!$B$2:$B$61,"1-10")</f>
        <v>30708</v>
      </c>
      <c r="C125" s="23" t="n">
        <f aca="false">SUMIFS(Data!$G$2:$G$61,Data!$A$2:$A$61,$A$26,Data!$B$2:$B$61,"11-50")</f>
        <v>110092</v>
      </c>
      <c r="D125" s="23" t="n">
        <f aca="false">SUMIFS(Data!$G$2:$G$61,Data!$A$2:$A$61,$A$26,Data!$B$2:$B$61,"51-100")</f>
        <v>353215</v>
      </c>
      <c r="E125" s="23" t="n">
        <f aca="false">SUMIFS(Data!$G$2:$G$61,Data!$A$2:$A$61,$A$26,Data!$B$2:$B$61,"101-500")</f>
        <v>505265</v>
      </c>
      <c r="F125" s="23" t="n">
        <f aca="false">SUMIFS(Data!$G$2:$G$61,Data!$A$2:$A$61,$A$26,Data!$B$2:$B$61,"501+")</f>
        <v>284756</v>
      </c>
      <c r="G125" s="23" t="n">
        <f aca="false">SUMIFS(Data!$G$2:$G$61,Data!$A$2:$A$61,$A$26)</f>
        <v>1284036</v>
      </c>
    </row>
    <row r="126" customFormat="false" ht="15" hidden="false" customHeight="false" outlineLevel="0" collapsed="false">
      <c r="A126" s="6" t="s">
        <v>211</v>
      </c>
      <c r="B126" s="24" t="n">
        <f aca="false">B125/B124-1</f>
        <v>-0.292540201815417</v>
      </c>
      <c r="C126" s="24" t="n">
        <f aca="false">C125/C124-1</f>
        <v>0.21963973146035</v>
      </c>
      <c r="D126" s="24" t="n">
        <f aca="false">D125/D124-1</f>
        <v>0.542598722999118</v>
      </c>
      <c r="E126" s="24" t="n">
        <f aca="false">E125/E124-1</f>
        <v>0.844712832102344</v>
      </c>
      <c r="F126" s="24" t="n">
        <f aca="false">F125/F124-1</f>
        <v>4.29040408732002</v>
      </c>
      <c r="G126" s="24" t="n">
        <f aca="false">G125/G124-1</f>
        <v>0.859924388371453</v>
      </c>
    </row>
    <row r="127" customFormat="false" ht="15" hidden="false" customHeight="false" outlineLevel="0" collapsed="false">
      <c r="A127" s="6" t="s">
        <v>212</v>
      </c>
      <c r="B127" s="29" t="n">
        <f aca="false">CORREL(B106:B117,B91:B102)</f>
        <v>0.776703903923537</v>
      </c>
      <c r="C127" s="29" t="n">
        <f aca="false">CORREL(C106:C117,C91:C102)</f>
        <v>-0.769732685419012</v>
      </c>
      <c r="D127" s="29" t="n">
        <f aca="false">CORREL(D106:D117,D91:D102)</f>
        <v>-0.907274837170466</v>
      </c>
      <c r="E127" s="29" t="n">
        <f aca="false">CORREL(E106:E117,E91:E102)</f>
        <v>-0.729124687279782</v>
      </c>
      <c r="F127" s="29" t="n">
        <f aca="false">CORREL(F106:F117,F91:F102)</f>
        <v>0.528121855669496</v>
      </c>
      <c r="G127" s="29" t="n">
        <f aca="false">CORREL(G106:G117,G91:G102)</f>
        <v>-0.871073649627138</v>
      </c>
      <c r="H127" s="2" t="s">
        <v>213</v>
      </c>
    </row>
    <row r="128" customFormat="false" ht="15" hidden="false" customHeight="false" outlineLevel="0" collapsed="false">
      <c r="A128" s="6" t="s">
        <v>214</v>
      </c>
      <c r="B128" s="24" t="n">
        <f aca="false">SUMIFS(Data!$D$2:$D$61,Data!$N$2:$N$61,1,Data!$B$2:$B$61,"1-10")/SUMIFS(Data!$C$2:$C$61,Data!$N$2:$N$61,1,Data!$B$2:$B$61,"1-10")</f>
        <v>0.394202898550725</v>
      </c>
      <c r="C128" s="24" t="n">
        <f aca="false">SUMIFS(Data!$D$2:$D$61,Data!$N$2:$N$61,1,Data!$B$2:$B$61,"11-50")/SUMIFS(Data!$C$2:$C$61,Data!$N$2:$N$61,1,Data!$B$2:$B$61,"11-50")</f>
        <v>0.396241830065359</v>
      </c>
      <c r="D128" s="24" t="n">
        <f aca="false">SUMIFS(Data!$D$2:$D$61,Data!$N$2:$N$61,1,Data!$B$2:$B$61,"51-100")/SUMIFS(Data!$C$2:$C$61,Data!$N$2:$N$61,1,Data!$B$2:$B$61,"51-100")</f>
        <v>0.389527458492976</v>
      </c>
      <c r="E128" s="24" t="n">
        <f aca="false">SUMIFS(Data!$D$2:$D$61,Data!$N$2:$N$61,1,Data!$B$2:$B$61,"101-500")/SUMIFS(Data!$C$2:$C$61,Data!$N$2:$N$61,1,Data!$B$2:$B$61,"101-500")</f>
        <v>0.274792754068161</v>
      </c>
      <c r="F128" s="24" t="n">
        <f aca="false">SUMIFS(Data!$D$2:$D$61,Data!$N$2:$N$61,1,Data!$B$2:$B$61,"501+")/SUMIFS(Data!$C$2:$C$61,Data!$N$2:$N$61,1,Data!$B$2:$B$61,"501+")</f>
        <v>0.194074074074074</v>
      </c>
      <c r="G128" s="24" t="n">
        <f aca="false">SUMIFS(Data!$D$2:$D$61,Data!$N$2:$N$61,1)/SUMIFS(Data!$C$2:$C$61,Data!$N$2:$N$61,1)</f>
        <v>0.312105848893286</v>
      </c>
    </row>
    <row r="129" customFormat="false" ht="15" hidden="false" customHeight="false" outlineLevel="0" collapsed="false">
      <c r="A129" s="6" t="s">
        <v>215</v>
      </c>
      <c r="B129" s="24" t="n">
        <f aca="false">SUMIFS(Data!$D$2:$D$61,Data!$L$2:$L$61,1,Data!$B$2:$B$61,"1-10")/SUMIFS(Data!$C$2:$C$61,Data!$L$2:$L$61,1,Data!$B$2:$B$61,"1-10")</f>
        <v>0.351648351648352</v>
      </c>
      <c r="C129" s="24" t="n">
        <f aca="false">SUMIFS(Data!$D$2:$D$61,Data!$L$2:$L$61,1,Data!$B$2:$B$61,"11-50")/SUMIFS(Data!$C$2:$C$61,Data!$L$2:$L$61,1,Data!$B$2:$B$61,"11-50")</f>
        <v>0.363520408163265</v>
      </c>
      <c r="D129" s="24" t="n">
        <f aca="false">SUMIFS(Data!$D$2:$D$61,Data!$L$2:$L$61,1,Data!$B$2:$B$61,"51-100")/SUMIFS(Data!$C$2:$C$61,Data!$L$2:$L$61,1,Data!$B$2:$B$61,"51-100")</f>
        <v>0.352813852813853</v>
      </c>
      <c r="E129" s="24" t="n">
        <f aca="false">SUMIFS(Data!$D$2:$D$61,Data!$L$2:$L$61,1,Data!$B$2:$B$61,"101-500")/SUMIFS(Data!$C$2:$C$61,Data!$L$2:$L$61,1,Data!$B$2:$B$61,"101-500")</f>
        <v>0.256712199717381</v>
      </c>
      <c r="F129" s="24" t="n">
        <f aca="false">SUMIFS(Data!$D$2:$D$61,Data!$L$2:$L$61,1,Data!$B$2:$B$61,"501+")/SUMIFS(Data!$C$2:$C$61,Data!$L$2:$L$61,1,Data!$B$2:$B$61,"501+")</f>
        <v>0.190291262135922</v>
      </c>
      <c r="G129" s="24" t="n">
        <f aca="false">SUMIFS(Data!$D$2:$D$61,Data!$L$2:$L$61,1)/SUMIFS(Data!$C$2:$C$61,Data!$L$2:$L$61,1)</f>
        <v>0.282041293338527</v>
      </c>
    </row>
    <row r="130" customFormat="false" ht="15" hidden="false" customHeight="false" outlineLevel="0" collapsed="false">
      <c r="A130" s="6" t="s">
        <v>216</v>
      </c>
      <c r="B130" s="24" t="n">
        <f aca="false">B129-B128</f>
        <v>-0.042554546902373</v>
      </c>
      <c r="C130" s="24" t="n">
        <f aca="false">C129-C128</f>
        <v>-0.0327214219020942</v>
      </c>
      <c r="D130" s="24" t="n">
        <f aca="false">D129-D128</f>
        <v>-0.0367136056791229</v>
      </c>
      <c r="E130" s="24" t="n">
        <f aca="false">E129-E128</f>
        <v>-0.0180805543507798</v>
      </c>
      <c r="F130" s="24" t="n">
        <f aca="false">F129-F128</f>
        <v>-0.00378281193815175</v>
      </c>
      <c r="G130" s="24" t="n">
        <f aca="false">G129-G128</f>
        <v>-0.0300645555547581</v>
      </c>
      <c r="H130" s="2" t="s">
        <v>217</v>
      </c>
    </row>
    <row r="132" customFormat="false" ht="15" hidden="false" customHeight="false" outlineLevel="0" collapsed="false">
      <c r="A132" s="8" t="s">
        <v>218</v>
      </c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customFormat="false" ht="15" hidden="false" customHeight="false" outlineLevel="0" collapsed="false">
      <c r="A133" s="6" t="s">
        <v>219</v>
      </c>
      <c r="B133" s="24" t="n">
        <f aca="false">C15/B15</f>
        <v>0.354978354978355</v>
      </c>
    </row>
    <row r="134" customFormat="false" ht="15" hidden="false" customHeight="false" outlineLevel="0" collapsed="false">
      <c r="A134" s="6" t="s">
        <v>220</v>
      </c>
      <c r="B134" s="24" t="n">
        <f aca="false">C26/B26</f>
        <v>0.280939947780679</v>
      </c>
    </row>
    <row r="135" customFormat="false" ht="15" hidden="false" customHeight="false" outlineLevel="0" collapsed="false">
      <c r="A135" s="6" t="s">
        <v>221</v>
      </c>
      <c r="B135" s="24" t="n">
        <f aca="false">SUMPRODUCT(B46:F46/G46,B42:F42)</f>
        <v>0.298505537664351</v>
      </c>
    </row>
    <row r="136" customFormat="false" ht="15" hidden="false" customHeight="false" outlineLevel="0" collapsed="false">
      <c r="A136" s="6" t="s">
        <v>222</v>
      </c>
      <c r="B136" s="24" t="n">
        <f aca="false">B134-B133</f>
        <v>-0.0740384071976761</v>
      </c>
    </row>
    <row r="137" customFormat="false" ht="15" hidden="false" customHeight="false" outlineLevel="0" collapsed="false">
      <c r="A137" s="6" t="s">
        <v>223</v>
      </c>
      <c r="B137" s="24" t="n">
        <f aca="false">B135-B133</f>
        <v>-0.0564728173140045</v>
      </c>
    </row>
    <row r="138" customFormat="false" ht="15" hidden="false" customHeight="false" outlineLevel="0" collapsed="false">
      <c r="A138" s="6" t="s">
        <v>224</v>
      </c>
      <c r="B138" s="24" t="n">
        <f aca="false">B134-B135</f>
        <v>-0.0175655898836716</v>
      </c>
    </row>
    <row r="140" customFormat="false" ht="15" hidden="false" customHeight="false" outlineLevel="0" collapsed="false">
      <c r="A140" s="8" t="s">
        <v>225</v>
      </c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customFormat="false" ht="30" hidden="false" customHeight="true" outlineLevel="0" collapsed="false">
      <c r="A141" s="18" t="s">
        <v>181</v>
      </c>
      <c r="B141" s="18" t="s">
        <v>226</v>
      </c>
      <c r="C141" s="18" t="s">
        <v>227</v>
      </c>
      <c r="D141" s="18" t="s">
        <v>228</v>
      </c>
      <c r="E141" s="18" t="s">
        <v>229</v>
      </c>
      <c r="F141" s="18" t="s">
        <v>230</v>
      </c>
      <c r="G141" s="18" t="s">
        <v>231</v>
      </c>
      <c r="H141" s="18" t="s">
        <v>232</v>
      </c>
      <c r="I141" s="18" t="s">
        <v>233</v>
      </c>
      <c r="J141" s="18" t="s">
        <v>234</v>
      </c>
      <c r="K141" s="18" t="s">
        <v>235</v>
      </c>
      <c r="L141" s="18" t="s">
        <v>236</v>
      </c>
    </row>
    <row r="142" customFormat="false" ht="15" hidden="false" customHeight="false" outlineLevel="0" collapsed="false">
      <c r="A142" s="6" t="s">
        <v>158</v>
      </c>
      <c r="B142" s="22" t="n">
        <f aca="false">SUMIFS(Data!$C$2:$C$61,Data!$B$2:$B$61,$A142,Data!$P$2:$P$61,1)</f>
        <v>368</v>
      </c>
      <c r="C142" s="22" t="n">
        <f aca="false">SUMIFS(Data!$F$2:$F$61,Data!$B$2:$B$61,$A142,Data!$P$2:$P$61,1)</f>
        <v>40</v>
      </c>
      <c r="D142" s="23" t="n">
        <f aca="false">SUMIFS(Data!$G$2:$G$61,Data!$B$2:$B$61,$A142,Data!$P$2:$P$61,1)</f>
        <v>118695</v>
      </c>
      <c r="E142" s="22" t="n">
        <f aca="false">SUMIFS(Data!$C$2:$C$61,Data!$B$2:$B$61,$A142,Data!$L$2:$L$61,1)</f>
        <v>273</v>
      </c>
      <c r="F142" s="22" t="n">
        <f aca="false">SUMIFS(Data!$F$2:$F$61,Data!$B$2:$B$61,$A142,Data!$L$2:$L$61,1)</f>
        <v>26</v>
      </c>
      <c r="G142" s="23" t="n">
        <f aca="false">SUMIFS(Data!$G$2:$G$61,Data!$B$2:$B$61,$A142,Data!$L$2:$L$61,1)</f>
        <v>77304</v>
      </c>
      <c r="H142" s="23" t="n">
        <f aca="false">G142-D142</f>
        <v>-41391</v>
      </c>
      <c r="I142" s="23" t="n">
        <f aca="false">(G142-D142)/LN(G142/D142)*LN(E142/B142)</f>
        <v>-28823.421203159</v>
      </c>
      <c r="J142" s="23" t="n">
        <f aca="false">(G142-D142)/LN(G142/D142)*LN((F142/E142)/(C142/B142))</f>
        <v>-12757.8718242228</v>
      </c>
      <c r="K142" s="23" t="n">
        <f aca="false">(G142-D142)/LN(G142/D142)*LN((G142/F142)/(D142/C142))</f>
        <v>190.293027381831</v>
      </c>
      <c r="L142" s="23" t="n">
        <f aca="false">I142+J142+K142-H142</f>
        <v>0</v>
      </c>
    </row>
    <row r="143" customFormat="false" ht="15" hidden="false" customHeight="false" outlineLevel="0" collapsed="false">
      <c r="A143" s="6" t="s">
        <v>159</v>
      </c>
      <c r="B143" s="22" t="n">
        <f aca="false">SUMIFS(Data!$C$2:$C$61,Data!$B$2:$B$61,$A143,Data!$P$2:$P$61,1)</f>
        <v>575</v>
      </c>
      <c r="C143" s="22" t="n">
        <f aca="false">SUMIFS(Data!$F$2:$F$61,Data!$B$2:$B$61,$A143,Data!$P$2:$P$61,1)</f>
        <v>63</v>
      </c>
      <c r="D143" s="23" t="n">
        <f aca="false">SUMIFS(Data!$G$2:$G$61,Data!$B$2:$B$61,$A143,Data!$P$2:$P$61,1)</f>
        <v>250831</v>
      </c>
      <c r="E143" s="22" t="n">
        <f aca="false">SUMIFS(Data!$C$2:$C$61,Data!$B$2:$B$61,$A143,Data!$L$2:$L$61,1)</f>
        <v>784</v>
      </c>
      <c r="F143" s="22" t="n">
        <f aca="false">SUMIFS(Data!$F$2:$F$61,Data!$B$2:$B$61,$A143,Data!$L$2:$L$61,1)</f>
        <v>77</v>
      </c>
      <c r="G143" s="23" t="n">
        <f aca="false">SUMIFS(Data!$G$2:$G$61,Data!$B$2:$B$61,$A143,Data!$L$2:$L$61,1)</f>
        <v>312755</v>
      </c>
      <c r="H143" s="23" t="n">
        <f aca="false">G143-D143</f>
        <v>61924</v>
      </c>
      <c r="I143" s="23" t="n">
        <f aca="false">(G143-D143)/LN(G143/D143)*LN(E143/B143)</f>
        <v>87014.0961573918</v>
      </c>
      <c r="J143" s="23" t="n">
        <f aca="false">(G143-D143)/LN(G143/D143)*LN((F143/E143)/(C143/B143))</f>
        <v>-30694.793287521</v>
      </c>
      <c r="K143" s="23" t="n">
        <f aca="false">(G143-D143)/LN(G143/D143)*LN((G143/F143)/(D143/C143))</f>
        <v>5604.69713012929</v>
      </c>
      <c r="L143" s="23" t="n">
        <f aca="false">I143+J143+K143-H143</f>
        <v>0</v>
      </c>
    </row>
    <row r="144" customFormat="false" ht="15" hidden="false" customHeight="false" outlineLevel="0" collapsed="false">
      <c r="A144" s="6" t="s">
        <v>160</v>
      </c>
      <c r="B144" s="22" t="n">
        <f aca="false">SUMIFS(Data!$C$2:$C$61,Data!$B$2:$B$61,$A144,Data!$P$2:$P$61,1)</f>
        <v>699</v>
      </c>
      <c r="C144" s="22" t="n">
        <f aca="false">SUMIFS(Data!$F$2:$F$61,Data!$B$2:$B$61,$A144,Data!$P$2:$P$61,1)</f>
        <v>73</v>
      </c>
      <c r="D144" s="23" t="n">
        <f aca="false">SUMIFS(Data!$G$2:$G$61,Data!$B$2:$B$61,$A144,Data!$P$2:$P$61,1)</f>
        <v>661253</v>
      </c>
      <c r="E144" s="22" t="n">
        <f aca="false">SUMIFS(Data!$C$2:$C$61,Data!$B$2:$B$61,$A144,Data!$L$2:$L$61,1)</f>
        <v>924</v>
      </c>
      <c r="F144" s="22" t="n">
        <f aca="false">SUMIFS(Data!$F$2:$F$61,Data!$B$2:$B$61,$A144,Data!$L$2:$L$61,1)</f>
        <v>88</v>
      </c>
      <c r="G144" s="23" t="n">
        <f aca="false">SUMIFS(Data!$G$2:$G$61,Data!$B$2:$B$61,$A144,Data!$L$2:$L$61,1)</f>
        <v>835908</v>
      </c>
      <c r="H144" s="23" t="n">
        <f aca="false">G144-D144</f>
        <v>174655</v>
      </c>
      <c r="I144" s="23" t="n">
        <f aca="false">(G144-D144)/LN(G144/D144)*LN(E144/B144)</f>
        <v>207948.768868339</v>
      </c>
      <c r="J144" s="23" t="n">
        <f aca="false">(G144-D144)/LN(G144/D144)*LN((F144/E144)/(C144/B144))</f>
        <v>-68692.9293160043</v>
      </c>
      <c r="K144" s="23" t="n">
        <f aca="false">(G144-D144)/LN(G144/D144)*LN((G144/F144)/(D144/C144))</f>
        <v>35399.1604476658</v>
      </c>
      <c r="L144" s="23" t="n">
        <f aca="false">I144+J144+K144-H144</f>
        <v>0</v>
      </c>
    </row>
    <row r="145" customFormat="false" ht="15" hidden="false" customHeight="false" outlineLevel="0" collapsed="false">
      <c r="A145" s="6" t="s">
        <v>161</v>
      </c>
      <c r="B145" s="22" t="n">
        <f aca="false">SUMIFS(Data!$C$2:$C$61,Data!$B$2:$B$61,$A145,Data!$P$2:$P$61,1)</f>
        <v>1511</v>
      </c>
      <c r="C145" s="22" t="n">
        <f aca="false">SUMIFS(Data!$F$2:$F$61,Data!$B$2:$B$61,$A145,Data!$P$2:$P$61,1)</f>
        <v>81</v>
      </c>
      <c r="D145" s="23" t="n">
        <f aca="false">SUMIFS(Data!$G$2:$G$61,Data!$B$2:$B$61,$A145,Data!$P$2:$P$61,1)</f>
        <v>882165</v>
      </c>
      <c r="E145" s="22" t="n">
        <f aca="false">SUMIFS(Data!$C$2:$C$61,Data!$B$2:$B$61,$A145,Data!$L$2:$L$61,1)</f>
        <v>2123</v>
      </c>
      <c r="F145" s="22" t="n">
        <f aca="false">SUMIFS(Data!$F$2:$F$61,Data!$B$2:$B$61,$A145,Data!$L$2:$L$61,1)</f>
        <v>98</v>
      </c>
      <c r="G145" s="23" t="n">
        <f aca="false">SUMIFS(Data!$G$2:$G$61,Data!$B$2:$B$61,$A145,Data!$L$2:$L$61,1)</f>
        <v>1273719</v>
      </c>
      <c r="H145" s="23" t="n">
        <f aca="false">G145-D145</f>
        <v>391554</v>
      </c>
      <c r="I145" s="23" t="n">
        <f aca="false">(G145-D145)/LN(G145/D145)*LN(E145/B145)</f>
        <v>362496.746298011</v>
      </c>
      <c r="J145" s="23" t="n">
        <f aca="false">(G145-D145)/LN(G145/D145)*LN((F145/E145)/(C145/B145))</f>
        <v>-159407.358221755</v>
      </c>
      <c r="K145" s="23" t="n">
        <f aca="false">(G145-D145)/LN(G145/D145)*LN((G145/F145)/(D145/C145))</f>
        <v>188464.611923744</v>
      </c>
      <c r="L145" s="23" t="n">
        <f aca="false">I145+J145+K145-H145</f>
        <v>0</v>
      </c>
    </row>
    <row r="146" customFormat="false" ht="15" hidden="false" customHeight="false" outlineLevel="0" collapsed="false">
      <c r="A146" s="6" t="s">
        <v>162</v>
      </c>
      <c r="B146" s="22" t="n">
        <f aca="false">SUMIFS(Data!$C$2:$C$61,Data!$B$2:$B$61,$A146,Data!$P$2:$P$61,1)</f>
        <v>531</v>
      </c>
      <c r="C146" s="22" t="n">
        <f aca="false">SUMIFS(Data!$F$2:$F$61,Data!$B$2:$B$61,$A146,Data!$P$2:$P$61,1)</f>
        <v>12</v>
      </c>
      <c r="D146" s="23" t="n">
        <f aca="false">SUMIFS(Data!$G$2:$G$61,Data!$B$2:$B$61,$A146,Data!$P$2:$P$61,1)</f>
        <v>251738</v>
      </c>
      <c r="E146" s="22" t="n">
        <f aca="false">SUMIFS(Data!$C$2:$C$61,Data!$B$2:$B$61,$A146,Data!$L$2:$L$61,1)</f>
        <v>1030</v>
      </c>
      <c r="F146" s="22" t="n">
        <f aca="false">SUMIFS(Data!$F$2:$F$61,Data!$B$2:$B$61,$A146,Data!$L$2:$L$61,1)</f>
        <v>25</v>
      </c>
      <c r="G146" s="23" t="n">
        <f aca="false">SUMIFS(Data!$G$2:$G$61,Data!$B$2:$B$61,$A146,Data!$L$2:$L$61,1)</f>
        <v>578591</v>
      </c>
      <c r="H146" s="23" t="n">
        <f aca="false">G146-D146</f>
        <v>326853</v>
      </c>
      <c r="I146" s="23" t="n">
        <f aca="false">(G146-D146)/LN(G146/D146)*LN(E146/B146)</f>
        <v>260220.276151616</v>
      </c>
      <c r="J146" s="23" t="n">
        <f aca="false">(G146-D146)/LN(G146/D146)*LN((F146/E146)/(C146/B146))</f>
        <v>28049.3904333865</v>
      </c>
      <c r="K146" s="23" t="n">
        <f aca="false">(G146-D146)/LN(G146/D146)*LN((G146/F146)/(D146/C146))</f>
        <v>38583.3334149976</v>
      </c>
      <c r="L146" s="23" t="n">
        <f aca="false">I146+J146+K146-H146</f>
        <v>0</v>
      </c>
    </row>
    <row r="147" customFormat="false" ht="15" hidden="false" customHeight="false" outlineLevel="0" collapsed="false">
      <c r="A147" s="3" t="s">
        <v>194</v>
      </c>
      <c r="B147" s="26" t="n">
        <f aca="false">SUM(B142:B146)</f>
        <v>3684</v>
      </c>
      <c r="C147" s="26" t="n">
        <f aca="false">SUM(C142:C146)</f>
        <v>269</v>
      </c>
      <c r="D147" s="27" t="n">
        <f aca="false">SUM(D142:D146)</f>
        <v>2164682</v>
      </c>
      <c r="E147" s="26" t="n">
        <f aca="false">SUM(E142:E146)</f>
        <v>5134</v>
      </c>
      <c r="F147" s="26" t="n">
        <f aca="false">SUM(F142:F146)</f>
        <v>314</v>
      </c>
      <c r="G147" s="27" t="n">
        <f aca="false">SUM(G142:G146)</f>
        <v>3078277</v>
      </c>
      <c r="H147" s="27" t="n">
        <f aca="false">SUM(H142:H146)</f>
        <v>913595</v>
      </c>
      <c r="I147" s="27" t="n">
        <f aca="false">SUM(I142:I146)</f>
        <v>888856.466272198</v>
      </c>
      <c r="J147" s="27" t="n">
        <f aca="false">SUM(J142:J146)</f>
        <v>-243503.562216116</v>
      </c>
      <c r="K147" s="27" t="n">
        <f aca="false">SUM(K142:K146)</f>
        <v>268242.095943918</v>
      </c>
      <c r="L147" s="27" t="n">
        <f aca="false">SUM(L142:L146)</f>
        <v>0</v>
      </c>
    </row>
    <row r="148" customFormat="false" ht="15" hidden="false" customHeight="false" outlineLevel="0" collapsed="false">
      <c r="A148" s="2" t="s">
        <v>237</v>
      </c>
    </row>
    <row r="150" customFormat="false" ht="15" hidden="false" customHeight="false" outlineLevel="0" collapsed="false">
      <c r="A150" s="8" t="s">
        <v>238</v>
      </c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customFormat="false" ht="30" hidden="false" customHeight="true" outlineLevel="0" collapsed="false">
      <c r="A151" s="18" t="s">
        <v>181</v>
      </c>
      <c r="B151" s="18" t="s">
        <v>239</v>
      </c>
      <c r="C151" s="18" t="s">
        <v>240</v>
      </c>
      <c r="D151" s="18" t="s">
        <v>241</v>
      </c>
      <c r="E151" s="18" t="s">
        <v>242</v>
      </c>
      <c r="F151" s="18" t="s">
        <v>243</v>
      </c>
      <c r="G151" s="18" t="s">
        <v>244</v>
      </c>
      <c r="H151" s="18" t="s">
        <v>245</v>
      </c>
      <c r="I151" s="18" t="s">
        <v>246</v>
      </c>
    </row>
    <row r="152" customFormat="false" ht="15" hidden="false" customHeight="false" outlineLevel="0" collapsed="false">
      <c r="A152" s="6" t="s">
        <v>158</v>
      </c>
      <c r="B152" s="22" t="n">
        <f aca="false">SUMIFS(Data!$C$2:$C$61,Data!$B$2:$B$61,$A152,Data!$N$2:$N$61,0,Data!$O$2:$O$61,0)</f>
        <v>369</v>
      </c>
      <c r="C152" s="22" t="n">
        <f aca="false">SUMIFS(Data!$D$2:$D$61,Data!$B$2:$B$61,$A152,Data!$N$2:$N$61,0,Data!$O$2:$O$61,0)</f>
        <v>132</v>
      </c>
      <c r="D152" s="24" t="n">
        <f aca="false">SUMIFS(Data!$D$2:$D$61,Data!$B$2:$B$61,$A152,Data!$N$2:$N$61,1)/SUMIFS(Data!$C$2:$C$61,Data!$B$2:$B$61,$A152,Data!$N$2:$N$61,1)</f>
        <v>0.394202898550725</v>
      </c>
      <c r="E152" s="22" t="n">
        <f aca="false">B152*D152</f>
        <v>145.460869565217</v>
      </c>
      <c r="F152" s="22" t="n">
        <f aca="false">E152-C152</f>
        <v>13.4608695652174</v>
      </c>
      <c r="G152" s="24" t="n">
        <f aca="false">SUMIFS(Data!$F$2:$F$61,Data!$B$2:$B$61,$A152,Data!$N$2:$N$61,1)/SUMIFS(Data!$D$2:$D$61,Data!$B$2:$B$61,$A152,Data!$N$2:$N$61,1)</f>
        <v>0.275735294117647</v>
      </c>
      <c r="H152" s="23" t="n">
        <f aca="false">SUMIFS(Data!$G$2:$G$61,Data!$B$2:$B$61,$A152,Data!$N$2:$N$61,0,Data!$O$2:$O$61,0)/SUMIFS(Data!$F$2:$F$61,Data!$B$2:$B$61,$A152,Data!$N$2:$N$61,0,Data!$O$2:$O$61,0)</f>
        <v>3000.33333333333</v>
      </c>
      <c r="I152" s="23" t="n">
        <f aca="false">F152*G152*H152</f>
        <v>11136.1476982097</v>
      </c>
    </row>
    <row r="153" customFormat="false" ht="15" hidden="false" customHeight="false" outlineLevel="0" collapsed="false">
      <c r="A153" s="6" t="s">
        <v>159</v>
      </c>
      <c r="B153" s="22" t="n">
        <f aca="false">SUMIFS(Data!$C$2:$C$61,Data!$B$2:$B$61,$A153,Data!$N$2:$N$61,0,Data!$O$2:$O$61,0)</f>
        <v>1033</v>
      </c>
      <c r="C153" s="22" t="n">
        <f aca="false">SUMIFS(Data!$D$2:$D$61,Data!$B$2:$B$61,$A153,Data!$N$2:$N$61,0,Data!$O$2:$O$61,0)</f>
        <v>377</v>
      </c>
      <c r="D153" s="24" t="n">
        <f aca="false">SUMIFS(Data!$D$2:$D$61,Data!$B$2:$B$61,$A153,Data!$N$2:$N$61,1)/SUMIFS(Data!$C$2:$C$61,Data!$B$2:$B$61,$A153,Data!$N$2:$N$61,1)</f>
        <v>0.396241830065359</v>
      </c>
      <c r="E153" s="22" t="n">
        <f aca="false">B153*D153</f>
        <v>409.317810457516</v>
      </c>
      <c r="F153" s="22" t="n">
        <f aca="false">E153-C153</f>
        <v>32.3178104575163</v>
      </c>
      <c r="G153" s="24" t="n">
        <f aca="false">SUMIFS(Data!$F$2:$F$61,Data!$B$2:$B$61,$A153,Data!$N$2:$N$61,1)/SUMIFS(Data!$D$2:$D$61,Data!$B$2:$B$61,$A153,Data!$N$2:$N$61,1)</f>
        <v>0.272164948453608</v>
      </c>
      <c r="H153" s="23" t="n">
        <f aca="false">SUMIFS(Data!$G$2:$G$61,Data!$B$2:$B$61,$A153,Data!$N$2:$N$61,0,Data!$O$2:$O$61,0)/SUMIFS(Data!$F$2:$F$61,Data!$B$2:$B$61,$A153,Data!$N$2:$N$61,0,Data!$O$2:$O$61,0)</f>
        <v>4027.11428571429</v>
      </c>
      <c r="I153" s="23" t="n">
        <f aca="false">F153*G153*H153</f>
        <v>35421.5920315342</v>
      </c>
    </row>
    <row r="154" customFormat="false" ht="15" hidden="false" customHeight="false" outlineLevel="0" collapsed="false">
      <c r="A154" s="6" t="s">
        <v>160</v>
      </c>
      <c r="B154" s="22" t="n">
        <f aca="false">SUMIFS(Data!$C$2:$C$61,Data!$B$2:$B$61,$A154,Data!$N$2:$N$61,0,Data!$O$2:$O$61,0)</f>
        <v>1307</v>
      </c>
      <c r="C154" s="22" t="n">
        <f aca="false">SUMIFS(Data!$D$2:$D$61,Data!$B$2:$B$61,$A154,Data!$N$2:$N$61,0,Data!$O$2:$O$61,0)</f>
        <v>456</v>
      </c>
      <c r="D154" s="24" t="n">
        <f aca="false">SUMIFS(Data!$D$2:$D$61,Data!$B$2:$B$61,$A154,Data!$N$2:$N$61,1)/SUMIFS(Data!$C$2:$C$61,Data!$B$2:$B$61,$A154,Data!$N$2:$N$61,1)</f>
        <v>0.389527458492976</v>
      </c>
      <c r="E154" s="22" t="n">
        <f aca="false">B154*D154</f>
        <v>509.112388250319</v>
      </c>
      <c r="F154" s="22" t="n">
        <f aca="false">E154-C154</f>
        <v>53.1123882503193</v>
      </c>
      <c r="G154" s="24" t="n">
        <f aca="false">SUMIFS(Data!$F$2:$F$61,Data!$B$2:$B$61,$A154,Data!$N$2:$N$61,1)/SUMIFS(Data!$D$2:$D$61,Data!$B$2:$B$61,$A154,Data!$N$2:$N$61,1)</f>
        <v>0.275409836065574</v>
      </c>
      <c r="H154" s="23" t="n">
        <f aca="false">SUMIFS(Data!$G$2:$G$61,Data!$B$2:$B$61,$A154,Data!$N$2:$N$61,0,Data!$O$2:$O$61,0)/SUMIFS(Data!$F$2:$F$61,Data!$B$2:$B$61,$A154,Data!$N$2:$N$61,0,Data!$O$2:$O$61,0)</f>
        <v>9589.70161290323</v>
      </c>
      <c r="I154" s="23" t="n">
        <f aca="false">F154*G154*H154</f>
        <v>140275.030303657</v>
      </c>
    </row>
    <row r="155" customFormat="false" ht="15" hidden="false" customHeight="false" outlineLevel="0" collapsed="false">
      <c r="A155" s="6" t="s">
        <v>161</v>
      </c>
      <c r="B155" s="22" t="n">
        <f aca="false">SUMIFS(Data!$C$2:$C$61,Data!$B$2:$B$61,$A155,Data!$N$2:$N$61,0,Data!$O$2:$O$61,0)</f>
        <v>2908</v>
      </c>
      <c r="C155" s="22" t="n">
        <f aca="false">SUMIFS(Data!$D$2:$D$61,Data!$B$2:$B$61,$A155,Data!$N$2:$N$61,0,Data!$O$2:$O$61,0)</f>
        <v>741</v>
      </c>
      <c r="D155" s="24" t="n">
        <f aca="false">SUMIFS(Data!$D$2:$D$61,Data!$B$2:$B$61,$A155,Data!$N$2:$N$61,1)/SUMIFS(Data!$C$2:$C$61,Data!$B$2:$B$61,$A155,Data!$N$2:$N$61,1)</f>
        <v>0.274792754068161</v>
      </c>
      <c r="E155" s="22" t="n">
        <f aca="false">B155*D155</f>
        <v>799.097328830212</v>
      </c>
      <c r="F155" s="22" t="n">
        <f aca="false">E155-C155</f>
        <v>58.0973288302118</v>
      </c>
      <c r="G155" s="24" t="n">
        <f aca="false">SUMIFS(Data!$F$2:$F$61,Data!$B$2:$B$61,$A155,Data!$N$2:$N$61,1)/SUMIFS(Data!$D$2:$D$61,Data!$B$2:$B$61,$A155,Data!$N$2:$N$61,1)</f>
        <v>0.182122905027933</v>
      </c>
      <c r="H155" s="23" t="n">
        <f aca="false">SUMIFS(Data!$G$2:$G$61,Data!$B$2:$B$61,$A155,Data!$N$2:$N$61,0,Data!$O$2:$O$61,0)/SUMIFS(Data!$F$2:$F$61,Data!$B$2:$B$61,$A155,Data!$N$2:$N$61,0,Data!$O$2:$O$61,0)</f>
        <v>13375.8195488722</v>
      </c>
      <c r="I155" s="23" t="n">
        <f aca="false">F155*G155*H155</f>
        <v>141527.597802031</v>
      </c>
    </row>
    <row r="156" customFormat="false" ht="15" hidden="false" customHeight="false" outlineLevel="0" collapsed="false">
      <c r="A156" s="6" t="s">
        <v>162</v>
      </c>
      <c r="B156" s="22" t="n">
        <f aca="false">SUMIFS(Data!$C$2:$C$61,Data!$B$2:$B$61,$A156,Data!$N$2:$N$61,0,Data!$O$2:$O$61,0)</f>
        <v>1432</v>
      </c>
      <c r="C156" s="22" t="n">
        <f aca="false">SUMIFS(Data!$D$2:$D$61,Data!$B$2:$B$61,$A156,Data!$N$2:$N$61,0,Data!$O$2:$O$61,0)</f>
        <v>280</v>
      </c>
      <c r="D156" s="24" t="n">
        <f aca="false">SUMIFS(Data!$D$2:$D$61,Data!$B$2:$B$61,$A156,Data!$N$2:$N$61,1)/SUMIFS(Data!$C$2:$C$61,Data!$B$2:$B$61,$A156,Data!$N$2:$N$61,1)</f>
        <v>0.194074074074074</v>
      </c>
      <c r="E156" s="22" t="n">
        <f aca="false">B156*D156</f>
        <v>277.914074074074</v>
      </c>
      <c r="F156" s="22" t="n">
        <f aca="false">E156-C156</f>
        <v>-2.08592592592595</v>
      </c>
      <c r="G156" s="24" t="n">
        <f aca="false">SUMIFS(Data!$F$2:$F$61,Data!$B$2:$B$61,$A156,Data!$N$2:$N$61,1)/SUMIFS(Data!$D$2:$D$61,Data!$B$2:$B$61,$A156,Data!$N$2:$N$61,1)</f>
        <v>0.133587786259542</v>
      </c>
      <c r="H156" s="23" t="n">
        <f aca="false">SUMIFS(Data!$G$2:$G$61,Data!$B$2:$B$61,$A156,Data!$N$2:$N$61,0,Data!$O$2:$O$61,0)/SUMIFS(Data!$F$2:$F$61,Data!$B$2:$B$61,$A156,Data!$N$2:$N$61,0,Data!$O$2:$O$61,0)</f>
        <v>23981.8611111111</v>
      </c>
      <c r="I156" s="23" t="n">
        <f aca="false">F156*G156*H156</f>
        <v>-6682.64696384263</v>
      </c>
    </row>
    <row r="157" customFormat="false" ht="15" hidden="false" customHeight="false" outlineLevel="0" collapsed="false">
      <c r="A157" s="3" t="s">
        <v>194</v>
      </c>
      <c r="B157" s="26" t="n">
        <f aca="false">SUM(B152:B156)</f>
        <v>7049</v>
      </c>
      <c r="C157" s="26" t="n">
        <f aca="false">SUM(C152:C156)</f>
        <v>1986</v>
      </c>
      <c r="E157" s="26" t="n">
        <f aca="false">SUM(E152:E156)</f>
        <v>2140.90247117734</v>
      </c>
      <c r="F157" s="26" t="n">
        <f aca="false">SUM(F152:F156)</f>
        <v>154.902471177339</v>
      </c>
      <c r="I157" s="27" t="n">
        <f aca="false">SUM(I152:I156)</f>
        <v>321677.720871589</v>
      </c>
    </row>
    <row r="158" customFormat="false" ht="15" hidden="false" customHeight="false" outlineLevel="0" collapsed="false">
      <c r="A158" s="2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P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7" min="2" style="0" width="13"/>
  </cols>
  <sheetData>
    <row r="1" customFormat="false" ht="17.35" hidden="false" customHeight="false" outlineLevel="0" collapsed="false">
      <c r="A1" s="1" t="s">
        <v>248</v>
      </c>
    </row>
    <row r="2" customFormat="false" ht="15" hidden="false" customHeight="false" outlineLevel="0" collapsed="false">
      <c r="A2" s="2" t="s">
        <v>249</v>
      </c>
    </row>
    <row r="4" customFormat="false" ht="15" hidden="false" customHeight="false" outlineLevel="0" collapsed="false">
      <c r="A4" s="8" t="s">
        <v>250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</row>
    <row r="5" customFormat="false" ht="30" hidden="false" customHeight="true" outlineLevel="0" collapsed="false">
      <c r="A5" s="18" t="s">
        <v>181</v>
      </c>
      <c r="B5" s="18" t="s">
        <v>187</v>
      </c>
      <c r="C5" s="18" t="s">
        <v>186</v>
      </c>
      <c r="D5" s="18" t="s">
        <v>251</v>
      </c>
      <c r="E5" s="18" t="s">
        <v>150</v>
      </c>
      <c r="F5" s="18" t="s">
        <v>252</v>
      </c>
      <c r="G5" s="18" t="s">
        <v>253</v>
      </c>
    </row>
    <row r="6" customFormat="false" ht="15" hidden="false" customHeight="false" outlineLevel="0" collapsed="false">
      <c r="A6" s="7" t="str">
        <f aca="false">Analysis!A6</f>
        <v>1-10</v>
      </c>
      <c r="B6" s="30" t="n">
        <f aca="false">Analysis!K6</f>
        <v>2987.31355932203</v>
      </c>
      <c r="C6" s="31" t="n">
        <f aca="false">Analysis!J6</f>
        <v>0.1</v>
      </c>
      <c r="D6" s="7" t="str">
        <f aca="false">Seg_Map!B4</f>
        <v>Velocity (1-50)</v>
      </c>
      <c r="E6" s="7" t="str">
        <f aca="false">Seg_Map!C4</f>
        <v>Velocity</v>
      </c>
      <c r="F6" s="7" t="str">
        <f aca="false">Seg_Map!D4</f>
        <v>SMB (1-100)</v>
      </c>
      <c r="G6" s="7" t="str">
        <f aca="false">Seg_Map!E4</f>
        <v>SMB (1-50)</v>
      </c>
    </row>
    <row r="7" customFormat="false" ht="15" hidden="false" customHeight="false" outlineLevel="0" collapsed="false">
      <c r="A7" s="7" t="str">
        <f aca="false">Analysis!A7</f>
        <v>11-50</v>
      </c>
      <c r="B7" s="30" t="n">
        <f aca="false">Analysis!K7</f>
        <v>4014.01581027668</v>
      </c>
      <c r="C7" s="31" t="n">
        <f aca="false">Analysis!J7</f>
        <v>0.10003954132068</v>
      </c>
      <c r="D7" s="7" t="str">
        <f aca="false">Seg_Map!B5</f>
        <v>Velocity (1-50)</v>
      </c>
      <c r="E7" s="7" t="str">
        <f aca="false">Seg_Map!C5</f>
        <v>Velocity</v>
      </c>
      <c r="F7" s="7" t="str">
        <f aca="false">Seg_Map!D5</f>
        <v>SMB (1-100)</v>
      </c>
      <c r="G7" s="7" t="str">
        <f aca="false">Seg_Map!E5</f>
        <v>SMB (1-50)</v>
      </c>
    </row>
    <row r="8" customFormat="false" ht="15" hidden="false" customHeight="false" outlineLevel="0" collapsed="false">
      <c r="A8" s="7" t="str">
        <f aca="false">Analysis!A8</f>
        <v>51-100</v>
      </c>
      <c r="B8" s="30" t="n">
        <f aca="false">Analysis!K8</f>
        <v>9313.20833333333</v>
      </c>
      <c r="C8" s="31" t="n">
        <f aca="false">Analysis!J8</f>
        <v>0.0961182994454713</v>
      </c>
      <c r="D8" s="7" t="str">
        <f aca="false">Seg_Map!B6</f>
        <v>Emerging MM (51-100)</v>
      </c>
      <c r="E8" s="7" t="str">
        <f aca="false">Seg_Map!C6</f>
        <v>Mid-Market</v>
      </c>
      <c r="F8" s="7" t="str">
        <f aca="false">Seg_Map!D6</f>
        <v>SMB (1-100)</v>
      </c>
      <c r="G8" s="7" t="str">
        <f aca="false">Seg_Map!E6</f>
        <v>MM (51-500)</v>
      </c>
    </row>
    <row r="9" customFormat="false" ht="15" hidden="false" customHeight="false" outlineLevel="0" collapsed="false">
      <c r="A9" s="7" t="str">
        <f aca="false">Analysis!A9</f>
        <v>101-500</v>
      </c>
      <c r="B9" s="30" t="n">
        <f aca="false">Analysis!K9</f>
        <v>12461.3021806854</v>
      </c>
      <c r="C9" s="31" t="n">
        <f aca="false">Analysis!J9</f>
        <v>0.0461074403906923</v>
      </c>
      <c r="D9" s="7" t="str">
        <f aca="false">Seg_Map!B7</f>
        <v>Core MM (101-500)</v>
      </c>
      <c r="E9" s="7" t="str">
        <f aca="false">Seg_Map!C7</f>
        <v>Mid-Market</v>
      </c>
      <c r="F9" s="7" t="str">
        <f aca="false">Seg_Map!D7</f>
        <v>MM (101-500)</v>
      </c>
      <c r="G9" s="7" t="str">
        <f aca="false">Seg_Map!E7</f>
        <v>MM (51-500)</v>
      </c>
    </row>
    <row r="10" customFormat="false" ht="15" hidden="false" customHeight="false" outlineLevel="0" collapsed="false">
      <c r="A10" s="7" t="str">
        <f aca="false">Analysis!A10</f>
        <v>501+</v>
      </c>
      <c r="B10" s="30" t="n">
        <f aca="false">Analysis!K10</f>
        <v>22724.6025641026</v>
      </c>
      <c r="C10" s="31" t="n">
        <f aca="false">Analysis!J10</f>
        <v>0.0241112828438949</v>
      </c>
      <c r="D10" s="7" t="str">
        <f aca="false">Seg_Map!B8</f>
        <v>Enterprise (501+)</v>
      </c>
      <c r="E10" s="7" t="str">
        <f aca="false">Seg_Map!C8</f>
        <v>Enterprise</v>
      </c>
      <c r="F10" s="7" t="str">
        <f aca="false">Seg_Map!D8</f>
        <v>ENT (501+)</v>
      </c>
      <c r="G10" s="7" t="str">
        <f aca="false">Seg_Map!E8</f>
        <v>ENT (501+)</v>
      </c>
    </row>
    <row r="13" customFormat="false" ht="15" hidden="false" customHeight="false" outlineLevel="0" collapsed="false">
      <c r="A13" s="8" t="s">
        <v>254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customFormat="false" ht="30" hidden="false" customHeight="true" outlineLevel="0" collapsed="false">
      <c r="A14" s="18" t="s">
        <v>255</v>
      </c>
      <c r="B14" s="18" t="s">
        <v>144</v>
      </c>
      <c r="C14" s="18" t="s">
        <v>147</v>
      </c>
      <c r="D14" s="18" t="s">
        <v>182</v>
      </c>
      <c r="E14" s="18" t="s">
        <v>190</v>
      </c>
      <c r="F14" s="18" t="s">
        <v>189</v>
      </c>
      <c r="G14" s="18" t="s">
        <v>183</v>
      </c>
      <c r="H14" s="18" t="s">
        <v>185</v>
      </c>
      <c r="I14" s="18" t="s">
        <v>186</v>
      </c>
      <c r="J14" s="18" t="s">
        <v>187</v>
      </c>
      <c r="K14" s="18" t="s">
        <v>188</v>
      </c>
      <c r="L14" s="18" t="s">
        <v>193</v>
      </c>
      <c r="M14" s="18" t="s">
        <v>256</v>
      </c>
      <c r="N14" s="18" t="s">
        <v>257</v>
      </c>
      <c r="O14" s="18" t="s">
        <v>258</v>
      </c>
    </row>
    <row r="15" customFormat="false" ht="15" hidden="false" customHeight="false" outlineLevel="0" collapsed="false">
      <c r="A15" s="6" t="s">
        <v>82</v>
      </c>
      <c r="B15" s="22" t="n">
        <f aca="false">SUMIFS(Data!$C$2:$C$61,Data!$H$2:$H$61,$A15)</f>
        <v>3709</v>
      </c>
      <c r="C15" s="22" t="n">
        <f aca="false">SUMIFS(Data!$F$2:$F$61,Data!$H$2:$H$61,$A15)</f>
        <v>371</v>
      </c>
      <c r="D15" s="23" t="n">
        <f aca="false">SUMIFS(Data!$G$2:$G$61,Data!$H$2:$H$61,$A15)</f>
        <v>1368049</v>
      </c>
      <c r="E15" s="24" t="n">
        <f aca="false">B15/SUM(Data!$C$2:$C$61)</f>
        <v>0.216243003731343</v>
      </c>
      <c r="F15" s="24" t="n">
        <f aca="false">D15/SUM(Data!$G$2:$G$61)</f>
        <v>0.136173504312554</v>
      </c>
      <c r="G15" s="24" t="n">
        <f aca="false">SUMIFS(Data!$D$2:$D$61,Data!$H$2:$H$61,$A15)/B15</f>
        <v>0.370180641682394</v>
      </c>
      <c r="H15" s="24" t="n">
        <f aca="false">C15/SUMIFS(Data!$E$2:$E$61,Data!$H$2:$H$61,$A15)</f>
        <v>0.338503649635037</v>
      </c>
      <c r="I15" s="24" t="n">
        <f aca="false">C15/B15</f>
        <v>0.100026961445133</v>
      </c>
      <c r="J15" s="23" t="n">
        <f aca="false">D15/C15</f>
        <v>3687.46361185984</v>
      </c>
      <c r="K15" s="23" t="n">
        <f aca="false">D15/B15</f>
        <v>368.845780533837</v>
      </c>
      <c r="L15" s="25" t="n">
        <f aca="false">SUMIFS(Data!$D$2:$D$61,Data!$H$2:$H$61,$A15)/C15</f>
        <v>3.70080862533693</v>
      </c>
      <c r="M15" s="32" t="n">
        <f aca="false">_xlfn.MAXIFS($B$6:$B$10,$D$6:$D$10,$A15)/_xlfn.MINIFS($B$6:$B$10,$D$6:$D$10,$A15)</f>
        <v>1.34368747390135</v>
      </c>
      <c r="N15" s="32" t="n">
        <f aca="false">_xlfn.MAXIFS($C$6:$C$10,$D$6:$D$10,$A15)/_xlfn.MINIFS($C$6:$C$10,$D$6:$D$10,$A15)</f>
        <v>1.0003954132068</v>
      </c>
      <c r="O15" s="25" t="n">
        <f aca="false">SUMIFS(Data!$D$2:$D$61,Data!$H$2:$H$61,$A15)/12</f>
        <v>114.416666666667</v>
      </c>
    </row>
    <row r="16" customFormat="false" ht="15" hidden="false" customHeight="false" outlineLevel="0" collapsed="false">
      <c r="A16" s="6" t="s">
        <v>83</v>
      </c>
      <c r="B16" s="22" t="n">
        <f aca="false">SUMIFS(Data!$C$2:$C$61,Data!$H$2:$H$61,$A16)</f>
        <v>3246</v>
      </c>
      <c r="C16" s="22" t="n">
        <f aca="false">SUMIFS(Data!$F$2:$F$61,Data!$H$2:$H$61,$A16)</f>
        <v>312</v>
      </c>
      <c r="D16" s="23" t="n">
        <f aca="false">SUMIFS(Data!$G$2:$G$61,Data!$H$2:$H$61,$A16)</f>
        <v>2905721</v>
      </c>
      <c r="E16" s="24" t="n">
        <f aca="false">B16/SUM(Data!$C$2:$C$61)</f>
        <v>0.189249067164179</v>
      </c>
      <c r="F16" s="24" t="n">
        <f aca="false">D16/SUM(Data!$G$2:$G$61)</f>
        <v>0.289231022517891</v>
      </c>
      <c r="G16" s="24" t="n">
        <f aca="false">SUMIFS(Data!$D$2:$D$61,Data!$H$2:$H$61,$A16)/B16</f>
        <v>0.358287122612446</v>
      </c>
      <c r="H16" s="24" t="n">
        <f aca="false">C16/SUMIFS(Data!$E$2:$E$61,Data!$H$2:$H$61,$A16)</f>
        <v>0.336933045356372</v>
      </c>
      <c r="I16" s="24" t="n">
        <f aca="false">C16/B16</f>
        <v>0.0961182994454713</v>
      </c>
      <c r="J16" s="23" t="n">
        <f aca="false">D16/C16</f>
        <v>9313.20833333333</v>
      </c>
      <c r="K16" s="23" t="n">
        <f aca="false">D16/B16</f>
        <v>895.169747381393</v>
      </c>
      <c r="L16" s="25" t="n">
        <f aca="false">SUMIFS(Data!$D$2:$D$61,Data!$H$2:$H$61,$A16)/C16</f>
        <v>3.7275641025641</v>
      </c>
      <c r="M16" s="32" t="n">
        <f aca="false">_xlfn.MAXIFS($B$6:$B$10,$D$6:$D$10,$A16)/_xlfn.MINIFS($B$6:$B$10,$D$6:$D$10,$A16)</f>
        <v>1</v>
      </c>
      <c r="N16" s="32" t="n">
        <f aca="false">_xlfn.MAXIFS($C$6:$C$10,$D$6:$D$10,$A16)/_xlfn.MINIFS($C$6:$C$10,$D$6:$D$10,$A16)</f>
        <v>1</v>
      </c>
      <c r="O16" s="25" t="n">
        <f aca="false">SUMIFS(Data!$D$2:$D$61,Data!$H$2:$H$61,$A16)/12</f>
        <v>96.9166666666667</v>
      </c>
    </row>
    <row r="17" customFormat="false" ht="15" hidden="false" customHeight="false" outlineLevel="0" collapsed="false">
      <c r="A17" s="6" t="s">
        <v>84</v>
      </c>
      <c r="B17" s="22" t="n">
        <f aca="false">SUMIFS(Data!$C$2:$C$61,Data!$H$2:$H$61,$A17)</f>
        <v>6962</v>
      </c>
      <c r="C17" s="22" t="n">
        <f aca="false">SUMIFS(Data!$F$2:$F$61,Data!$H$2:$H$61,$A17)</f>
        <v>321</v>
      </c>
      <c r="D17" s="23" t="n">
        <f aca="false">SUMIFS(Data!$G$2:$G$61,Data!$H$2:$H$61,$A17)</f>
        <v>4000078</v>
      </c>
      <c r="E17" s="24" t="n">
        <f aca="false">B17/SUM(Data!$C$2:$C$61)</f>
        <v>0.405900186567164</v>
      </c>
      <c r="F17" s="24" t="n">
        <f aca="false">D17/SUM(Data!$G$2:$G$61)</f>
        <v>0.398161643905702</v>
      </c>
      <c r="G17" s="24" t="n">
        <f aca="false">SUMIFS(Data!$D$2:$D$61,Data!$H$2:$H$61,$A17)/B17</f>
        <v>0.259551852915829</v>
      </c>
      <c r="H17" s="24" t="n">
        <f aca="false">C17/SUMIFS(Data!$E$2:$E$61,Data!$H$2:$H$61,$A17)</f>
        <v>0.253955696202532</v>
      </c>
      <c r="I17" s="24" t="n">
        <f aca="false">C17/B17</f>
        <v>0.0461074403906923</v>
      </c>
      <c r="J17" s="23" t="n">
        <f aca="false">D17/C17</f>
        <v>12461.3021806854</v>
      </c>
      <c r="K17" s="23" t="n">
        <f aca="false">D17/B17</f>
        <v>574.558747486355</v>
      </c>
      <c r="L17" s="25" t="n">
        <f aca="false">SUMIFS(Data!$D$2:$D$61,Data!$H$2:$H$61,$A17)/C17</f>
        <v>5.62928348909657</v>
      </c>
      <c r="M17" s="32" t="n">
        <f aca="false">_xlfn.MAXIFS($B$6:$B$10,$D$6:$D$10,$A17)/_xlfn.MINIFS($B$6:$B$10,$D$6:$D$10,$A17)</f>
        <v>1</v>
      </c>
      <c r="N17" s="32" t="n">
        <f aca="false">_xlfn.MAXIFS($C$6:$C$10,$D$6:$D$10,$A17)/_xlfn.MINIFS($C$6:$C$10,$D$6:$D$10,$A17)</f>
        <v>1</v>
      </c>
      <c r="O17" s="25" t="n">
        <f aca="false">SUMIFS(Data!$D$2:$D$61,Data!$H$2:$H$61,$A17)/12</f>
        <v>150.583333333333</v>
      </c>
    </row>
    <row r="18" customFormat="false" ht="15" hidden="false" customHeight="false" outlineLevel="0" collapsed="false">
      <c r="A18" s="6" t="s">
        <v>85</v>
      </c>
      <c r="B18" s="22" t="n">
        <f aca="false">SUMIFS(Data!$C$2:$C$61,Data!$H$2:$H$61,$A18)</f>
        <v>3235</v>
      </c>
      <c r="C18" s="22" t="n">
        <f aca="false">SUMIFS(Data!$F$2:$F$61,Data!$H$2:$H$61,$A18)</f>
        <v>78</v>
      </c>
      <c r="D18" s="23" t="n">
        <f aca="false">SUMIFS(Data!$G$2:$G$61,Data!$H$2:$H$61,$A18)</f>
        <v>1772519</v>
      </c>
      <c r="E18" s="24" t="n">
        <f aca="false">B18/SUM(Data!$C$2:$C$61)</f>
        <v>0.188607742537313</v>
      </c>
      <c r="F18" s="24" t="n">
        <f aca="false">D18/SUM(Data!$G$2:$G$61)</f>
        <v>0.176433829263852</v>
      </c>
      <c r="G18" s="24" t="n">
        <f aca="false">SUMIFS(Data!$D$2:$D$61,Data!$H$2:$H$61,$A18)/B18</f>
        <v>0.187944358578053</v>
      </c>
      <c r="H18" s="24" t="n">
        <f aca="false">C18/SUMIFS(Data!$E$2:$E$61,Data!$H$2:$H$61,$A18)</f>
        <v>0.196969696969697</v>
      </c>
      <c r="I18" s="24" t="n">
        <f aca="false">C18/B18</f>
        <v>0.0241112828438949</v>
      </c>
      <c r="J18" s="23" t="n">
        <f aca="false">D18/C18</f>
        <v>22724.6025641026</v>
      </c>
      <c r="K18" s="23" t="n">
        <f aca="false">D18/B18</f>
        <v>547.919319938176</v>
      </c>
      <c r="L18" s="25" t="n">
        <f aca="false">SUMIFS(Data!$D$2:$D$61,Data!$H$2:$H$61,$A18)/C18</f>
        <v>7.7948717948718</v>
      </c>
      <c r="M18" s="32" t="n">
        <f aca="false">_xlfn.MAXIFS($B$6:$B$10,$D$6:$D$10,$A18)/_xlfn.MINIFS($B$6:$B$10,$D$6:$D$10,$A18)</f>
        <v>1</v>
      </c>
      <c r="N18" s="32" t="n">
        <f aca="false">_xlfn.MAXIFS($C$6:$C$10,$D$6:$D$10,$A18)/_xlfn.MINIFS($C$6:$C$10,$D$6:$D$10,$A18)</f>
        <v>1</v>
      </c>
      <c r="O18" s="25" t="n">
        <f aca="false">SUMIFS(Data!$D$2:$D$61,Data!$H$2:$H$61,$A18)/12</f>
        <v>50.6666666666667</v>
      </c>
    </row>
    <row r="20" customFormat="false" ht="15" hidden="false" customHeight="false" outlineLevel="0" collapsed="false">
      <c r="A20" s="8" t="s">
        <v>259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customFormat="false" ht="30" hidden="false" customHeight="true" outlineLevel="0" collapsed="false">
      <c r="A21" s="18" t="s">
        <v>255</v>
      </c>
      <c r="B21" s="18" t="s">
        <v>144</v>
      </c>
      <c r="C21" s="18" t="s">
        <v>147</v>
      </c>
      <c r="D21" s="18" t="s">
        <v>182</v>
      </c>
      <c r="E21" s="18" t="s">
        <v>190</v>
      </c>
      <c r="F21" s="18" t="s">
        <v>189</v>
      </c>
      <c r="G21" s="18" t="s">
        <v>183</v>
      </c>
      <c r="H21" s="18" t="s">
        <v>185</v>
      </c>
      <c r="I21" s="18" t="s">
        <v>186</v>
      </c>
      <c r="J21" s="18" t="s">
        <v>187</v>
      </c>
      <c r="K21" s="18" t="s">
        <v>188</v>
      </c>
      <c r="L21" s="18" t="s">
        <v>193</v>
      </c>
      <c r="M21" s="18" t="s">
        <v>256</v>
      </c>
      <c r="N21" s="18" t="s">
        <v>257</v>
      </c>
      <c r="O21" s="18" t="s">
        <v>258</v>
      </c>
    </row>
    <row r="22" customFormat="false" ht="15" hidden="false" customHeight="false" outlineLevel="0" collapsed="false">
      <c r="A22" s="6" t="s">
        <v>170</v>
      </c>
      <c r="B22" s="22" t="n">
        <f aca="false">SUMIFS(Data!$C$2:$C$61,Data!$I$2:$I$61,$A22)</f>
        <v>3709</v>
      </c>
      <c r="C22" s="22" t="n">
        <f aca="false">SUMIFS(Data!$F$2:$F$61,Data!$I$2:$I$61,$A22)</f>
        <v>371</v>
      </c>
      <c r="D22" s="23" t="n">
        <f aca="false">SUMIFS(Data!$G$2:$G$61,Data!$I$2:$I$61,$A22)</f>
        <v>1368049</v>
      </c>
      <c r="E22" s="24" t="n">
        <f aca="false">B22/SUM(Data!$C$2:$C$61)</f>
        <v>0.216243003731343</v>
      </c>
      <c r="F22" s="24" t="n">
        <f aca="false">D22/SUM(Data!$G$2:$G$61)</f>
        <v>0.136173504312554</v>
      </c>
      <c r="G22" s="24" t="n">
        <f aca="false">SUMIFS(Data!$D$2:$D$61,Data!$I$2:$I$61,$A22)/B22</f>
        <v>0.370180641682394</v>
      </c>
      <c r="H22" s="24" t="n">
        <f aca="false">C22/SUMIFS(Data!$E$2:$E$61,Data!$I$2:$I$61,$A22)</f>
        <v>0.338503649635037</v>
      </c>
      <c r="I22" s="24" t="n">
        <f aca="false">C22/B22</f>
        <v>0.100026961445133</v>
      </c>
      <c r="J22" s="23" t="n">
        <f aca="false">D22/C22</f>
        <v>3687.46361185984</v>
      </c>
      <c r="K22" s="23" t="n">
        <f aca="false">D22/B22</f>
        <v>368.845780533837</v>
      </c>
      <c r="L22" s="25" t="n">
        <f aca="false">SUMIFS(Data!$D$2:$D$61,Data!$I$2:$I$61,$A22)/C22</f>
        <v>3.70080862533693</v>
      </c>
      <c r="M22" s="32" t="n">
        <f aca="false">_xlfn.MAXIFS($B$6:$B$10,$E$6:$E$10,$A22)/_xlfn.MINIFS($B$6:$B$10,$E$6:$E$10,$A22)</f>
        <v>1.34368747390135</v>
      </c>
      <c r="N22" s="32" t="n">
        <f aca="false">_xlfn.MAXIFS($C$6:$C$10,$E$6:$E$10,$A22)/_xlfn.MINIFS($C$6:$C$10,$E$6:$E$10,$A22)</f>
        <v>1.0003954132068</v>
      </c>
      <c r="O22" s="25" t="n">
        <f aca="false">SUMIFS(Data!$D$2:$D$61,Data!$I$2:$I$61,$A22)/12</f>
        <v>114.416666666667</v>
      </c>
    </row>
    <row r="23" customFormat="false" ht="15" hidden="false" customHeight="false" outlineLevel="0" collapsed="false">
      <c r="A23" s="6" t="s">
        <v>173</v>
      </c>
      <c r="B23" s="22" t="n">
        <f aca="false">SUMIFS(Data!$C$2:$C$61,Data!$I$2:$I$61,$A23)</f>
        <v>10208</v>
      </c>
      <c r="C23" s="22" t="n">
        <f aca="false">SUMIFS(Data!$F$2:$F$61,Data!$I$2:$I$61,$A23)</f>
        <v>633</v>
      </c>
      <c r="D23" s="23" t="n">
        <f aca="false">SUMIFS(Data!$G$2:$G$61,Data!$I$2:$I$61,$A23)</f>
        <v>6905799</v>
      </c>
      <c r="E23" s="24" t="n">
        <f aca="false">B23/SUM(Data!$C$2:$C$61)</f>
        <v>0.595149253731343</v>
      </c>
      <c r="F23" s="24" t="n">
        <f aca="false">D23/SUM(Data!$G$2:$G$61)</f>
        <v>0.687392666423594</v>
      </c>
      <c r="G23" s="24" t="n">
        <f aca="false">SUMIFS(Data!$D$2:$D$61,Data!$I$2:$I$61,$A23)/B23</f>
        <v>0.290948275862069</v>
      </c>
      <c r="H23" s="24" t="n">
        <f aca="false">C23/SUMIFS(Data!$E$2:$E$61,Data!$I$2:$I$61,$A23)</f>
        <v>0.289041095890411</v>
      </c>
      <c r="I23" s="24" t="n">
        <f aca="false">C23/B23</f>
        <v>0.0620101880877743</v>
      </c>
      <c r="J23" s="23" t="n">
        <f aca="false">D23/C23</f>
        <v>10909.63507109</v>
      </c>
      <c r="K23" s="23" t="n">
        <f aca="false">D23/B23</f>
        <v>676.508522727273</v>
      </c>
      <c r="L23" s="25" t="n">
        <f aca="false">SUMIFS(Data!$D$2:$D$61,Data!$I$2:$I$61,$A23)/C23</f>
        <v>4.69194312796209</v>
      </c>
      <c r="M23" s="32" t="n">
        <f aca="false">_xlfn.MAXIFS($B$6:$B$10,$E$6:$E$10,$A23)/_xlfn.MINIFS($B$6:$B$10,$E$6:$E$10,$A23)</f>
        <v>1.33802463497832</v>
      </c>
      <c r="N23" s="32" t="n">
        <f aca="false">_xlfn.MAXIFS($C$6:$C$10,$E$6:$E$10,$A23)/_xlfn.MINIFS($C$6:$C$10,$E$6:$E$10,$A23)</f>
        <v>2.08465919233449</v>
      </c>
      <c r="O23" s="25" t="n">
        <f aca="false">SUMIFS(Data!$D$2:$D$61,Data!$I$2:$I$61,$A23)/12</f>
        <v>247.5</v>
      </c>
    </row>
    <row r="24" customFormat="false" ht="15" hidden="false" customHeight="false" outlineLevel="0" collapsed="false">
      <c r="A24" s="6" t="s">
        <v>176</v>
      </c>
      <c r="B24" s="22" t="n">
        <f aca="false">SUMIFS(Data!$C$2:$C$61,Data!$I$2:$I$61,$A24)</f>
        <v>3235</v>
      </c>
      <c r="C24" s="22" t="n">
        <f aca="false">SUMIFS(Data!$F$2:$F$61,Data!$I$2:$I$61,$A24)</f>
        <v>78</v>
      </c>
      <c r="D24" s="23" t="n">
        <f aca="false">SUMIFS(Data!$G$2:$G$61,Data!$I$2:$I$61,$A24)</f>
        <v>1772519</v>
      </c>
      <c r="E24" s="24" t="n">
        <f aca="false">B24/SUM(Data!$C$2:$C$61)</f>
        <v>0.188607742537313</v>
      </c>
      <c r="F24" s="24" t="n">
        <f aca="false">D24/SUM(Data!$G$2:$G$61)</f>
        <v>0.176433829263852</v>
      </c>
      <c r="G24" s="24" t="n">
        <f aca="false">SUMIFS(Data!$D$2:$D$61,Data!$I$2:$I$61,$A24)/B24</f>
        <v>0.187944358578053</v>
      </c>
      <c r="H24" s="24" t="n">
        <f aca="false">C24/SUMIFS(Data!$E$2:$E$61,Data!$I$2:$I$61,$A24)</f>
        <v>0.196969696969697</v>
      </c>
      <c r="I24" s="24" t="n">
        <f aca="false">C24/B24</f>
        <v>0.0241112828438949</v>
      </c>
      <c r="J24" s="23" t="n">
        <f aca="false">D24/C24</f>
        <v>22724.6025641026</v>
      </c>
      <c r="K24" s="23" t="n">
        <f aca="false">D24/B24</f>
        <v>547.919319938176</v>
      </c>
      <c r="L24" s="25" t="n">
        <f aca="false">SUMIFS(Data!$D$2:$D$61,Data!$I$2:$I$61,$A24)/C24</f>
        <v>7.7948717948718</v>
      </c>
      <c r="M24" s="32" t="n">
        <f aca="false">_xlfn.MAXIFS($B$6:$B$10,$E$6:$E$10,$A24)/_xlfn.MINIFS($B$6:$B$10,$E$6:$E$10,$A24)</f>
        <v>1</v>
      </c>
      <c r="N24" s="32" t="n">
        <f aca="false">_xlfn.MAXIFS($C$6:$C$10,$E$6:$E$10,$A24)/_xlfn.MINIFS($C$6:$C$10,$E$6:$E$10,$A24)</f>
        <v>1</v>
      </c>
      <c r="O24" s="25" t="n">
        <f aca="false">SUMIFS(Data!$D$2:$D$61,Data!$I$2:$I$61,$A24)/12</f>
        <v>50.6666666666667</v>
      </c>
    </row>
    <row r="26" customFormat="false" ht="15" hidden="false" customHeight="false" outlineLevel="0" collapsed="false">
      <c r="A26" s="8" t="s">
        <v>167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 customFormat="false" ht="30" hidden="false" customHeight="true" outlineLevel="0" collapsed="false">
      <c r="A27" s="18" t="s">
        <v>255</v>
      </c>
      <c r="B27" s="18" t="s">
        <v>144</v>
      </c>
      <c r="C27" s="18" t="s">
        <v>147</v>
      </c>
      <c r="D27" s="18" t="s">
        <v>182</v>
      </c>
      <c r="E27" s="18" t="s">
        <v>190</v>
      </c>
      <c r="F27" s="18" t="s">
        <v>189</v>
      </c>
      <c r="G27" s="18" t="s">
        <v>183</v>
      </c>
      <c r="H27" s="18" t="s">
        <v>185</v>
      </c>
      <c r="I27" s="18" t="s">
        <v>186</v>
      </c>
      <c r="J27" s="18" t="s">
        <v>187</v>
      </c>
      <c r="K27" s="18" t="s">
        <v>188</v>
      </c>
      <c r="L27" s="18" t="s">
        <v>193</v>
      </c>
      <c r="M27" s="18" t="s">
        <v>256</v>
      </c>
      <c r="N27" s="18" t="s">
        <v>257</v>
      </c>
      <c r="O27" s="18" t="s">
        <v>258</v>
      </c>
    </row>
    <row r="28" customFormat="false" ht="15" hidden="false" customHeight="false" outlineLevel="0" collapsed="false">
      <c r="A28" s="6" t="s">
        <v>171</v>
      </c>
      <c r="B28" s="22" t="n">
        <f aca="false">SUMIFS(Data!$C$2:$C$61,Data!$J$2:$J$61,$A28)</f>
        <v>6955</v>
      </c>
      <c r="C28" s="22" t="n">
        <f aca="false">SUMIFS(Data!$F$2:$F$61,Data!$J$2:$J$61,$A28)</f>
        <v>683</v>
      </c>
      <c r="D28" s="23" t="n">
        <f aca="false">SUMIFS(Data!$G$2:$G$61,Data!$J$2:$J$61,$A28)</f>
        <v>4273770</v>
      </c>
      <c r="E28" s="24" t="n">
        <f aca="false">B28/SUM(Data!$C$2:$C$61)</f>
        <v>0.405492070895522</v>
      </c>
      <c r="F28" s="24" t="n">
        <f aca="false">D28/SUM(Data!$G$2:$G$61)</f>
        <v>0.425404526830445</v>
      </c>
      <c r="G28" s="24" t="n">
        <f aca="false">SUMIFS(Data!$D$2:$D$61,Data!$J$2:$J$61,$A28)/B28</f>
        <v>0.364629762760604</v>
      </c>
      <c r="H28" s="24" t="n">
        <f aca="false">C28/SUMIFS(Data!$E$2:$E$61,Data!$J$2:$J$61,$A28)</f>
        <v>0.337784371909001</v>
      </c>
      <c r="I28" s="24" t="n">
        <f aca="false">C28/B28</f>
        <v>0.0982027318475917</v>
      </c>
      <c r="J28" s="23" t="n">
        <f aca="false">D28/C28</f>
        <v>6257.34992679356</v>
      </c>
      <c r="K28" s="23" t="n">
        <f aca="false">D28/B28</f>
        <v>614.488856937455</v>
      </c>
      <c r="L28" s="25" t="n">
        <f aca="false">SUMIFS(Data!$D$2:$D$61,Data!$J$2:$J$61,$A28)/C28</f>
        <v>3.71303074670571</v>
      </c>
      <c r="M28" s="32" t="n">
        <f aca="false">_xlfn.MAXIFS($B$6:$B$10,$F$6:$F$10,$A28)/_xlfn.MINIFS($B$6:$B$10,$F$6:$F$10,$A28)</f>
        <v>3.11758646971326</v>
      </c>
      <c r="N28" s="32" t="n">
        <f aca="false">_xlfn.MAXIFS($C$6:$C$10,$F$6:$F$10,$A28)/_xlfn.MINIFS($C$6:$C$10,$F$6:$F$10,$A28)</f>
        <v>1.04079599720169</v>
      </c>
      <c r="O28" s="25" t="n">
        <f aca="false">SUMIFS(Data!$D$2:$D$61,Data!$J$2:$J$61,$A28)/12</f>
        <v>211.333333333333</v>
      </c>
    </row>
    <row r="29" customFormat="false" ht="15" hidden="false" customHeight="false" outlineLevel="0" collapsed="false">
      <c r="A29" s="6" t="s">
        <v>175</v>
      </c>
      <c r="B29" s="22" t="n">
        <f aca="false">SUMIFS(Data!$C$2:$C$61,Data!$J$2:$J$61,$A29)</f>
        <v>6962</v>
      </c>
      <c r="C29" s="22" t="n">
        <f aca="false">SUMIFS(Data!$F$2:$F$61,Data!$J$2:$J$61,$A29)</f>
        <v>321</v>
      </c>
      <c r="D29" s="23" t="n">
        <f aca="false">SUMIFS(Data!$G$2:$G$61,Data!$J$2:$J$61,$A29)</f>
        <v>4000078</v>
      </c>
      <c r="E29" s="24" t="n">
        <f aca="false">B29/SUM(Data!$C$2:$C$61)</f>
        <v>0.405900186567164</v>
      </c>
      <c r="F29" s="24" t="n">
        <f aca="false">D29/SUM(Data!$G$2:$G$61)</f>
        <v>0.398161643905702</v>
      </c>
      <c r="G29" s="24" t="n">
        <f aca="false">SUMIFS(Data!$D$2:$D$61,Data!$J$2:$J$61,$A29)/B29</f>
        <v>0.259551852915829</v>
      </c>
      <c r="H29" s="24" t="n">
        <f aca="false">C29/SUMIFS(Data!$E$2:$E$61,Data!$J$2:$J$61,$A29)</f>
        <v>0.253955696202532</v>
      </c>
      <c r="I29" s="24" t="n">
        <f aca="false">C29/B29</f>
        <v>0.0461074403906923</v>
      </c>
      <c r="J29" s="23" t="n">
        <f aca="false">D29/C29</f>
        <v>12461.3021806854</v>
      </c>
      <c r="K29" s="23" t="n">
        <f aca="false">D29/B29</f>
        <v>574.558747486355</v>
      </c>
      <c r="L29" s="25" t="n">
        <f aca="false">SUMIFS(Data!$D$2:$D$61,Data!$J$2:$J$61,$A29)/C29</f>
        <v>5.62928348909657</v>
      </c>
      <c r="M29" s="32" t="n">
        <f aca="false">_xlfn.MAXIFS($B$6:$B$10,$F$6:$F$10,$A29)/_xlfn.MINIFS($B$6:$B$10,$F$6:$F$10,$A29)</f>
        <v>1</v>
      </c>
      <c r="N29" s="32" t="n">
        <f aca="false">_xlfn.MAXIFS($C$6:$C$10,$F$6:$F$10,$A29)/_xlfn.MINIFS($C$6:$C$10,$F$6:$F$10,$A29)</f>
        <v>1</v>
      </c>
      <c r="O29" s="25" t="n">
        <f aca="false">SUMIFS(Data!$D$2:$D$61,Data!$J$2:$J$61,$A29)/12</f>
        <v>150.583333333333</v>
      </c>
    </row>
    <row r="30" customFormat="false" ht="15" hidden="false" customHeight="false" outlineLevel="0" collapsed="false">
      <c r="A30" s="6" t="s">
        <v>177</v>
      </c>
      <c r="B30" s="22" t="n">
        <f aca="false">SUMIFS(Data!$C$2:$C$61,Data!$J$2:$J$61,$A30)</f>
        <v>3235</v>
      </c>
      <c r="C30" s="22" t="n">
        <f aca="false">SUMIFS(Data!$F$2:$F$61,Data!$J$2:$J$61,$A30)</f>
        <v>78</v>
      </c>
      <c r="D30" s="23" t="n">
        <f aca="false">SUMIFS(Data!$G$2:$G$61,Data!$J$2:$J$61,$A30)</f>
        <v>1772519</v>
      </c>
      <c r="E30" s="24" t="n">
        <f aca="false">B30/SUM(Data!$C$2:$C$61)</f>
        <v>0.188607742537313</v>
      </c>
      <c r="F30" s="24" t="n">
        <f aca="false">D30/SUM(Data!$G$2:$G$61)</f>
        <v>0.176433829263852</v>
      </c>
      <c r="G30" s="24" t="n">
        <f aca="false">SUMIFS(Data!$D$2:$D$61,Data!$J$2:$J$61,$A30)/B30</f>
        <v>0.187944358578053</v>
      </c>
      <c r="H30" s="24" t="n">
        <f aca="false">C30/SUMIFS(Data!$E$2:$E$61,Data!$J$2:$J$61,$A30)</f>
        <v>0.196969696969697</v>
      </c>
      <c r="I30" s="24" t="n">
        <f aca="false">C30/B30</f>
        <v>0.0241112828438949</v>
      </c>
      <c r="J30" s="23" t="n">
        <f aca="false">D30/C30</f>
        <v>22724.6025641026</v>
      </c>
      <c r="K30" s="23" t="n">
        <f aca="false">D30/B30</f>
        <v>547.919319938176</v>
      </c>
      <c r="L30" s="25" t="n">
        <f aca="false">SUMIFS(Data!$D$2:$D$61,Data!$J$2:$J$61,$A30)/C30</f>
        <v>7.7948717948718</v>
      </c>
      <c r="M30" s="32" t="n">
        <f aca="false">_xlfn.MAXIFS($B$6:$B$10,$F$6:$F$10,$A30)/_xlfn.MINIFS($B$6:$B$10,$F$6:$F$10,$A30)</f>
        <v>1</v>
      </c>
      <c r="N30" s="32" t="n">
        <f aca="false">_xlfn.MAXIFS($C$6:$C$10,$F$6:$F$10,$A30)/_xlfn.MINIFS($C$6:$C$10,$F$6:$F$10,$A30)</f>
        <v>1</v>
      </c>
      <c r="O30" s="25" t="n">
        <f aca="false">SUMIFS(Data!$D$2:$D$61,Data!$J$2:$J$61,$A30)/12</f>
        <v>50.6666666666667</v>
      </c>
    </row>
    <row r="32" customFormat="false" ht="15" hidden="false" customHeight="false" outlineLevel="0" collapsed="false">
      <c r="A32" s="8" t="s">
        <v>168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</row>
    <row r="33" customFormat="false" ht="30" hidden="false" customHeight="true" outlineLevel="0" collapsed="false">
      <c r="A33" s="18" t="s">
        <v>255</v>
      </c>
      <c r="B33" s="18" t="s">
        <v>144</v>
      </c>
      <c r="C33" s="18" t="s">
        <v>147</v>
      </c>
      <c r="D33" s="18" t="s">
        <v>182</v>
      </c>
      <c r="E33" s="18" t="s">
        <v>190</v>
      </c>
      <c r="F33" s="18" t="s">
        <v>189</v>
      </c>
      <c r="G33" s="18" t="s">
        <v>183</v>
      </c>
      <c r="H33" s="18" t="s">
        <v>185</v>
      </c>
      <c r="I33" s="18" t="s">
        <v>186</v>
      </c>
      <c r="J33" s="18" t="s">
        <v>187</v>
      </c>
      <c r="K33" s="18" t="s">
        <v>188</v>
      </c>
      <c r="L33" s="18" t="s">
        <v>193</v>
      </c>
      <c r="M33" s="18" t="s">
        <v>256</v>
      </c>
      <c r="N33" s="18" t="s">
        <v>257</v>
      </c>
      <c r="O33" s="18" t="s">
        <v>258</v>
      </c>
    </row>
    <row r="34" customFormat="false" ht="15" hidden="false" customHeight="false" outlineLevel="0" collapsed="false">
      <c r="A34" s="6" t="s">
        <v>172</v>
      </c>
      <c r="B34" s="22" t="n">
        <f aca="false">SUMIFS(Data!$C$2:$C$61,Data!$K$2:$K$61,$A34)</f>
        <v>3709</v>
      </c>
      <c r="C34" s="22" t="n">
        <f aca="false">SUMIFS(Data!$F$2:$F$61,Data!$K$2:$K$61,$A34)</f>
        <v>371</v>
      </c>
      <c r="D34" s="23" t="n">
        <f aca="false">SUMIFS(Data!$G$2:$G$61,Data!$K$2:$K$61,$A34)</f>
        <v>1368049</v>
      </c>
      <c r="E34" s="24" t="n">
        <f aca="false">B34/SUM(Data!$C$2:$C$61)</f>
        <v>0.216243003731343</v>
      </c>
      <c r="F34" s="24" t="n">
        <f aca="false">D34/SUM(Data!$G$2:$G$61)</f>
        <v>0.136173504312554</v>
      </c>
      <c r="G34" s="24" t="n">
        <f aca="false">SUMIFS(Data!$D$2:$D$61,Data!$K$2:$K$61,$A34)/B34</f>
        <v>0.370180641682394</v>
      </c>
      <c r="H34" s="24" t="n">
        <f aca="false">C34/SUMIFS(Data!$E$2:$E$61,Data!$K$2:$K$61,$A34)</f>
        <v>0.338503649635037</v>
      </c>
      <c r="I34" s="24" t="n">
        <f aca="false">C34/B34</f>
        <v>0.100026961445133</v>
      </c>
      <c r="J34" s="23" t="n">
        <f aca="false">D34/C34</f>
        <v>3687.46361185984</v>
      </c>
      <c r="K34" s="23" t="n">
        <f aca="false">D34/B34</f>
        <v>368.845780533837</v>
      </c>
      <c r="L34" s="25" t="n">
        <f aca="false">SUMIFS(Data!$D$2:$D$61,Data!$K$2:$K$61,$A34)/C34</f>
        <v>3.70080862533693</v>
      </c>
      <c r="M34" s="32" t="n">
        <f aca="false">_xlfn.MAXIFS($B$6:$B$10,$G$6:$G$10,$A34)/_xlfn.MINIFS($B$6:$B$10,$G$6:$G$10,$A34)</f>
        <v>1.34368747390135</v>
      </c>
      <c r="N34" s="32" t="n">
        <f aca="false">_xlfn.MAXIFS($C$6:$C$10,$G$6:$G$10,$A34)/_xlfn.MINIFS($C$6:$C$10,$G$6:$G$10,$A34)</f>
        <v>1.0003954132068</v>
      </c>
      <c r="O34" s="25" t="n">
        <f aca="false">SUMIFS(Data!$D$2:$D$61,Data!$K$2:$K$61,$A34)/12</f>
        <v>114.416666666667</v>
      </c>
    </row>
    <row r="35" customFormat="false" ht="15" hidden="false" customHeight="false" outlineLevel="0" collapsed="false">
      <c r="A35" s="6" t="s">
        <v>174</v>
      </c>
      <c r="B35" s="22" t="n">
        <f aca="false">SUMIFS(Data!$C$2:$C$61,Data!$K$2:$K$61,$A35)</f>
        <v>10208</v>
      </c>
      <c r="C35" s="22" t="n">
        <f aca="false">SUMIFS(Data!$F$2:$F$61,Data!$K$2:$K$61,$A35)</f>
        <v>633</v>
      </c>
      <c r="D35" s="23" t="n">
        <f aca="false">SUMIFS(Data!$G$2:$G$61,Data!$K$2:$K$61,$A35)</f>
        <v>6905799</v>
      </c>
      <c r="E35" s="24" t="n">
        <f aca="false">B35/SUM(Data!$C$2:$C$61)</f>
        <v>0.595149253731343</v>
      </c>
      <c r="F35" s="24" t="n">
        <f aca="false">D35/SUM(Data!$G$2:$G$61)</f>
        <v>0.687392666423594</v>
      </c>
      <c r="G35" s="24" t="n">
        <f aca="false">SUMIFS(Data!$D$2:$D$61,Data!$K$2:$K$61,$A35)/B35</f>
        <v>0.290948275862069</v>
      </c>
      <c r="H35" s="24" t="n">
        <f aca="false">C35/SUMIFS(Data!$E$2:$E$61,Data!$K$2:$K$61,$A35)</f>
        <v>0.289041095890411</v>
      </c>
      <c r="I35" s="24" t="n">
        <f aca="false">C35/B35</f>
        <v>0.0620101880877743</v>
      </c>
      <c r="J35" s="23" t="n">
        <f aca="false">D35/C35</f>
        <v>10909.63507109</v>
      </c>
      <c r="K35" s="23" t="n">
        <f aca="false">D35/B35</f>
        <v>676.508522727273</v>
      </c>
      <c r="L35" s="25" t="n">
        <f aca="false">SUMIFS(Data!$D$2:$D$61,Data!$K$2:$K$61,$A35)/C35</f>
        <v>4.69194312796209</v>
      </c>
      <c r="M35" s="32" t="n">
        <f aca="false">_xlfn.MAXIFS($B$6:$B$10,$G$6:$G$10,$A35)/_xlfn.MINIFS($B$6:$B$10,$G$6:$G$10,$A35)</f>
        <v>1.33802463497832</v>
      </c>
      <c r="N35" s="32" t="n">
        <f aca="false">_xlfn.MAXIFS($C$6:$C$10,$G$6:$G$10,$A35)/_xlfn.MINIFS($C$6:$C$10,$G$6:$G$10,$A35)</f>
        <v>2.08465919233449</v>
      </c>
      <c r="O35" s="25" t="n">
        <f aca="false">SUMIFS(Data!$D$2:$D$61,Data!$K$2:$K$61,$A35)/12</f>
        <v>247.5</v>
      </c>
    </row>
    <row r="36" customFormat="false" ht="15" hidden="false" customHeight="false" outlineLevel="0" collapsed="false">
      <c r="A36" s="6" t="s">
        <v>177</v>
      </c>
      <c r="B36" s="22" t="n">
        <f aca="false">SUMIFS(Data!$C$2:$C$61,Data!$K$2:$K$61,$A36)</f>
        <v>3235</v>
      </c>
      <c r="C36" s="22" t="n">
        <f aca="false">SUMIFS(Data!$F$2:$F$61,Data!$K$2:$K$61,$A36)</f>
        <v>78</v>
      </c>
      <c r="D36" s="23" t="n">
        <f aca="false">SUMIFS(Data!$G$2:$G$61,Data!$K$2:$K$61,$A36)</f>
        <v>1772519</v>
      </c>
      <c r="E36" s="24" t="n">
        <f aca="false">B36/SUM(Data!$C$2:$C$61)</f>
        <v>0.188607742537313</v>
      </c>
      <c r="F36" s="24" t="n">
        <f aca="false">D36/SUM(Data!$G$2:$G$61)</f>
        <v>0.176433829263852</v>
      </c>
      <c r="G36" s="24" t="n">
        <f aca="false">SUMIFS(Data!$D$2:$D$61,Data!$K$2:$K$61,$A36)/B36</f>
        <v>0.187944358578053</v>
      </c>
      <c r="H36" s="24" t="n">
        <f aca="false">C36/SUMIFS(Data!$E$2:$E$61,Data!$K$2:$K$61,$A36)</f>
        <v>0.196969696969697</v>
      </c>
      <c r="I36" s="24" t="n">
        <f aca="false">C36/B36</f>
        <v>0.0241112828438949</v>
      </c>
      <c r="J36" s="23" t="n">
        <f aca="false">D36/C36</f>
        <v>22724.6025641026</v>
      </c>
      <c r="K36" s="23" t="n">
        <f aca="false">D36/B36</f>
        <v>547.919319938176</v>
      </c>
      <c r="L36" s="25" t="n">
        <f aca="false">SUMIFS(Data!$D$2:$D$61,Data!$K$2:$K$61,$A36)/C36</f>
        <v>7.7948717948718</v>
      </c>
      <c r="M36" s="32" t="n">
        <f aca="false">_xlfn.MAXIFS($B$6:$B$10,$G$6:$G$10,$A36)/_xlfn.MINIFS($B$6:$B$10,$G$6:$G$10,$A36)</f>
        <v>1</v>
      </c>
      <c r="N36" s="32" t="n">
        <f aca="false">_xlfn.MAXIFS($C$6:$C$10,$G$6:$G$10,$A36)/_xlfn.MINIFS($C$6:$C$10,$G$6:$G$10,$A36)</f>
        <v>1</v>
      </c>
      <c r="O36" s="25" t="n">
        <f aca="false">SUMIFS(Data!$D$2:$D$61,Data!$K$2:$K$61,$A36)/12</f>
        <v>50.6666666666667</v>
      </c>
    </row>
    <row r="39" customFormat="false" ht="15" hidden="false" customHeight="false" outlineLevel="0" collapsed="false">
      <c r="A39" s="8" t="s">
        <v>260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customFormat="false" ht="15" hidden="false" customHeight="false" outlineLevel="0" collapsed="false">
      <c r="A40" s="33" t="s">
        <v>261</v>
      </c>
      <c r="B40" s="34" t="s">
        <v>262</v>
      </c>
      <c r="C40" s="34"/>
      <c r="D40" s="34"/>
      <c r="E40" s="34"/>
      <c r="F40" s="34" t="s">
        <v>263</v>
      </c>
      <c r="G40" s="34"/>
      <c r="H40" s="34"/>
      <c r="I40" s="34"/>
      <c r="J40" s="34" t="s">
        <v>264</v>
      </c>
      <c r="K40" s="34"/>
      <c r="L40" s="34"/>
      <c r="M40" s="34"/>
    </row>
    <row r="41" customFormat="false" ht="15" hidden="false" customHeight="false" outlineLevel="0" collapsed="false">
      <c r="A41" s="3" t="s">
        <v>265</v>
      </c>
      <c r="B41" s="35" t="s">
        <v>266</v>
      </c>
      <c r="C41" s="35"/>
      <c r="D41" s="35"/>
      <c r="E41" s="35"/>
      <c r="F41" s="35" t="s">
        <v>267</v>
      </c>
      <c r="G41" s="35"/>
      <c r="H41" s="35"/>
      <c r="I41" s="35"/>
      <c r="J41" s="35" t="s">
        <v>268</v>
      </c>
      <c r="K41" s="35"/>
      <c r="L41" s="35"/>
      <c r="M41" s="35"/>
    </row>
    <row r="42" customFormat="false" ht="15" hidden="false" customHeight="false" outlineLevel="0" collapsed="false">
      <c r="A42" s="3" t="s">
        <v>269</v>
      </c>
      <c r="B42" s="35" t="s">
        <v>270</v>
      </c>
      <c r="C42" s="35"/>
      <c r="D42" s="35"/>
      <c r="E42" s="35"/>
      <c r="F42" s="35" t="s">
        <v>271</v>
      </c>
      <c r="G42" s="35"/>
      <c r="H42" s="35"/>
      <c r="I42" s="35"/>
      <c r="J42" s="35" t="s">
        <v>272</v>
      </c>
      <c r="K42" s="35"/>
      <c r="L42" s="35"/>
      <c r="M42" s="35"/>
    </row>
    <row r="43" customFormat="false" ht="15" hidden="false" customHeight="false" outlineLevel="0" collapsed="false">
      <c r="A43" s="3" t="s">
        <v>273</v>
      </c>
      <c r="B43" s="35" t="s">
        <v>274</v>
      </c>
      <c r="C43" s="35"/>
      <c r="D43" s="35"/>
      <c r="E43" s="35"/>
      <c r="F43" s="35" t="s">
        <v>275</v>
      </c>
      <c r="G43" s="35"/>
      <c r="H43" s="35"/>
      <c r="I43" s="35"/>
      <c r="J43" s="35" t="s">
        <v>276</v>
      </c>
      <c r="K43" s="35"/>
      <c r="L43" s="35"/>
      <c r="M43" s="35"/>
    </row>
    <row r="44" customFormat="false" ht="15" hidden="false" customHeight="false" outlineLevel="0" collapsed="false">
      <c r="A44" s="3" t="s">
        <v>277</v>
      </c>
      <c r="B44" s="35" t="s">
        <v>278</v>
      </c>
      <c r="C44" s="35"/>
      <c r="D44" s="35"/>
      <c r="E44" s="35"/>
      <c r="F44" s="35" t="s">
        <v>279</v>
      </c>
      <c r="G44" s="35"/>
      <c r="H44" s="35"/>
      <c r="I44" s="35"/>
      <c r="J44" s="35" t="s">
        <v>280</v>
      </c>
      <c r="K44" s="35"/>
      <c r="L44" s="35"/>
      <c r="M44" s="35"/>
    </row>
    <row r="45" customFormat="false" ht="15" hidden="false" customHeight="false" outlineLevel="0" collapsed="false">
      <c r="A45" s="3" t="s">
        <v>281</v>
      </c>
      <c r="B45" s="35" t="s">
        <v>282</v>
      </c>
      <c r="C45" s="35"/>
      <c r="D45" s="35"/>
      <c r="E45" s="35"/>
      <c r="F45" s="35" t="s">
        <v>283</v>
      </c>
      <c r="G45" s="35"/>
      <c r="H45" s="35"/>
      <c r="I45" s="35"/>
      <c r="J45" s="35" t="s">
        <v>284</v>
      </c>
      <c r="K45" s="35"/>
      <c r="L45" s="35"/>
      <c r="M45" s="35"/>
    </row>
  </sheetData>
  <mergeCells count="18">
    <mergeCell ref="B40:E40"/>
    <mergeCell ref="F40:I40"/>
    <mergeCell ref="J40:M40"/>
    <mergeCell ref="B41:E41"/>
    <mergeCell ref="F41:I41"/>
    <mergeCell ref="J41:M41"/>
    <mergeCell ref="B42:E42"/>
    <mergeCell ref="F42:I42"/>
    <mergeCell ref="J42:M42"/>
    <mergeCell ref="B43:E43"/>
    <mergeCell ref="F43:I43"/>
    <mergeCell ref="J43:M43"/>
    <mergeCell ref="B44:E44"/>
    <mergeCell ref="F44:I44"/>
    <mergeCell ref="J44:M44"/>
    <mergeCell ref="B45:E45"/>
    <mergeCell ref="F45:I45"/>
    <mergeCell ref="J45:M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6" min="3" style="0" width="17"/>
    <col collapsed="false" customWidth="true" hidden="false" outlineLevel="0" max="7" min="7" style="0" width="15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285</v>
      </c>
    </row>
    <row r="2" customFormat="false" ht="15" hidden="false" customHeight="false" outlineLevel="0" collapsed="false">
      <c r="A2" s="2" t="s">
        <v>286</v>
      </c>
    </row>
    <row r="4" customFormat="false" ht="30" hidden="false" customHeight="true" outlineLevel="0" collapsed="false">
      <c r="B4" s="18" t="s">
        <v>204</v>
      </c>
      <c r="C4" s="18" t="s">
        <v>82</v>
      </c>
      <c r="D4" s="18" t="s">
        <v>83</v>
      </c>
      <c r="E4" s="18" t="s">
        <v>84</v>
      </c>
      <c r="F4" s="18" t="s">
        <v>85</v>
      </c>
      <c r="G4" s="18" t="s">
        <v>194</v>
      </c>
      <c r="H4" s="18" t="s">
        <v>205</v>
      </c>
    </row>
    <row r="5" customFormat="false" ht="15" hidden="false" customHeight="false" outlineLevel="0" collapsed="false">
      <c r="B5" s="6" t="s">
        <v>287</v>
      </c>
      <c r="C5" s="7" t="s">
        <v>82</v>
      </c>
      <c r="D5" s="7" t="s">
        <v>83</v>
      </c>
      <c r="E5" s="7" t="s">
        <v>84</v>
      </c>
      <c r="F5" s="7" t="s">
        <v>85</v>
      </c>
    </row>
    <row r="7" customFormat="false" ht="15" hidden="false" customHeight="false" outlineLevel="0" collapsed="false">
      <c r="A7" s="8" t="s">
        <v>288</v>
      </c>
      <c r="B7" s="9"/>
      <c r="C7" s="9"/>
      <c r="D7" s="9"/>
      <c r="E7" s="9"/>
      <c r="F7" s="9"/>
      <c r="G7" s="9"/>
      <c r="H7" s="9"/>
    </row>
    <row r="8" customFormat="false" ht="15" hidden="false" customHeight="false" outlineLevel="0" collapsed="false">
      <c r="B8" s="6" t="s">
        <v>289</v>
      </c>
      <c r="C8" s="22" t="n">
        <f aca="false">COUNTIFS(Data!$L$2:$L$61,1)/5</f>
        <v>3</v>
      </c>
    </row>
    <row r="9" customFormat="false" ht="15" hidden="false" customHeight="false" outlineLevel="0" collapsed="false">
      <c r="B9" s="6" t="s">
        <v>290</v>
      </c>
      <c r="C9" s="25" t="n">
        <f aca="false">SUMIFS(Data!$C$2:$C$61,Data!$H$2:$H$61,C$5,Data!$L$2:$L$61,1)/(COUNTIFS(Data!$L$2:$L$61,1)/5)</f>
        <v>352.333333333333</v>
      </c>
      <c r="D9" s="25" t="n">
        <f aca="false">SUMIFS(Data!$C$2:$C$61,Data!$H$2:$H$61,D$5,Data!$L$2:$L$61,1)/(COUNTIFS(Data!$L$2:$L$61,1)/5)</f>
        <v>308</v>
      </c>
      <c r="E9" s="25" t="n">
        <f aca="false">SUMIFS(Data!$C$2:$C$61,Data!$H$2:$H$61,E$5,Data!$L$2:$L$61,1)/(COUNTIFS(Data!$L$2:$L$61,1)/5)</f>
        <v>707.666666666667</v>
      </c>
      <c r="F9" s="25" t="n">
        <f aca="false">SUMIFS(Data!$C$2:$C$61,Data!$H$2:$H$61,F$5,Data!$L$2:$L$61,1)/(COUNTIFS(Data!$L$2:$L$61,1)/5)</f>
        <v>343.333333333333</v>
      </c>
      <c r="G9" s="36" t="n">
        <f aca="false">SUM(C9:F9)</f>
        <v>1711.33333333333</v>
      </c>
    </row>
    <row r="10" customFormat="false" ht="15" hidden="false" customHeight="false" outlineLevel="0" collapsed="false">
      <c r="B10" s="6" t="s">
        <v>291</v>
      </c>
      <c r="C10" s="25" t="n">
        <f aca="false">SUMIFS(Data!$D$2:$D$61,Data!$H$2:$H$61,C$5,Data!$L$2:$L$61,1)/(COUNTIFS(Data!$L$2:$L$61,1)/5)</f>
        <v>127</v>
      </c>
      <c r="D10" s="25" t="n">
        <f aca="false">SUMIFS(Data!$D$2:$D$61,Data!$H$2:$H$61,D$5,Data!$L$2:$L$61,1)/(COUNTIFS(Data!$L$2:$L$61,1)/5)</f>
        <v>108.666666666667</v>
      </c>
      <c r="E10" s="25" t="n">
        <f aca="false">SUMIFS(Data!$D$2:$D$61,Data!$H$2:$H$61,E$5,Data!$L$2:$L$61,1)/(COUNTIFS(Data!$L$2:$L$61,1)/5)</f>
        <v>181.666666666667</v>
      </c>
      <c r="F10" s="25" t="n">
        <f aca="false">SUMIFS(Data!$D$2:$D$61,Data!$H$2:$H$61,F$5,Data!$L$2:$L$61,1)/(COUNTIFS(Data!$L$2:$L$61,1)/5)</f>
        <v>65.3333333333333</v>
      </c>
      <c r="G10" s="36" t="n">
        <f aca="false">SUM(C10:F10)</f>
        <v>482.666666666667</v>
      </c>
    </row>
    <row r="11" customFormat="false" ht="15" hidden="false" customHeight="false" outlineLevel="0" collapsed="false">
      <c r="B11" s="6" t="s">
        <v>292</v>
      </c>
      <c r="C11" s="25" t="n">
        <f aca="false">SUMIFS(Data!$E$2:$E$61,Data!$H$2:$H$61,C$5,Data!$L$2:$L$61,1)/(COUNTIFS(Data!$L$2:$L$61,1)/5)</f>
        <v>101</v>
      </c>
      <c r="D11" s="25" t="n">
        <f aca="false">SUMIFS(Data!$E$2:$E$61,Data!$H$2:$H$61,D$5,Data!$L$2:$L$61,1)/(COUNTIFS(Data!$L$2:$L$61,1)/5)</f>
        <v>86.3333333333333</v>
      </c>
      <c r="E11" s="25" t="n">
        <f aca="false">SUMIFS(Data!$E$2:$E$61,Data!$H$2:$H$61,E$5,Data!$L$2:$L$61,1)/(COUNTIFS(Data!$L$2:$L$61,1)/5)</f>
        <v>126</v>
      </c>
      <c r="F11" s="25" t="n">
        <f aca="false">SUMIFS(Data!$E$2:$E$61,Data!$H$2:$H$61,F$5,Data!$L$2:$L$61,1)/(COUNTIFS(Data!$L$2:$L$61,1)/5)</f>
        <v>43</v>
      </c>
      <c r="G11" s="36" t="n">
        <f aca="false">SUM(C11:F11)</f>
        <v>356.333333333333</v>
      </c>
    </row>
    <row r="12" customFormat="false" ht="15" hidden="false" customHeight="false" outlineLevel="0" collapsed="false">
      <c r="B12" s="6" t="s">
        <v>293</v>
      </c>
      <c r="C12" s="25" t="n">
        <f aca="false">SUMIFS(Data!$F$2:$F$61,Data!$H$2:$H$61,C$5,Data!$L$2:$L$61,1)/(COUNTIFS(Data!$L$2:$L$61,1)/5)</f>
        <v>34.3333333333333</v>
      </c>
      <c r="D12" s="25" t="n">
        <f aca="false">SUMIFS(Data!$F$2:$F$61,Data!$H$2:$H$61,D$5,Data!$L$2:$L$61,1)/(COUNTIFS(Data!$L$2:$L$61,1)/5)</f>
        <v>29.3333333333333</v>
      </c>
      <c r="E12" s="25" t="n">
        <f aca="false">SUMIFS(Data!$F$2:$F$61,Data!$H$2:$H$61,E$5,Data!$L$2:$L$61,1)/(COUNTIFS(Data!$L$2:$L$61,1)/5)</f>
        <v>32.6666666666667</v>
      </c>
      <c r="F12" s="25" t="n">
        <f aca="false">SUMIFS(Data!$F$2:$F$61,Data!$H$2:$H$61,F$5,Data!$L$2:$L$61,1)/(COUNTIFS(Data!$L$2:$L$61,1)/5)</f>
        <v>8.33333333333333</v>
      </c>
      <c r="G12" s="36" t="n">
        <f aca="false">SUM(C12:F12)</f>
        <v>104.666666666667</v>
      </c>
    </row>
    <row r="13" customFormat="false" ht="15" hidden="false" customHeight="false" outlineLevel="0" collapsed="false">
      <c r="B13" s="6" t="s">
        <v>294</v>
      </c>
      <c r="C13" s="23" t="n">
        <f aca="false">SUMIFS(Data!$G$2:$G$61,Data!$H$2:$H$61,C$5,Data!$L$2:$L$61,1)/(COUNTIFS(Data!$L$2:$L$61,1)/5)</f>
        <v>130019.666666667</v>
      </c>
      <c r="D13" s="23" t="n">
        <f aca="false">SUMIFS(Data!$G$2:$G$61,Data!$H$2:$H$61,D$5,Data!$L$2:$L$61,1)/(COUNTIFS(Data!$L$2:$L$61,1)/5)</f>
        <v>278636</v>
      </c>
      <c r="E13" s="23" t="n">
        <f aca="false">SUMIFS(Data!$G$2:$G$61,Data!$H$2:$H$61,E$5,Data!$L$2:$L$61,1)/(COUNTIFS(Data!$L$2:$L$61,1)/5)</f>
        <v>424573</v>
      </c>
      <c r="F13" s="23" t="n">
        <f aca="false">SUMIFS(Data!$G$2:$G$61,Data!$H$2:$H$61,F$5,Data!$L$2:$L$61,1)/(COUNTIFS(Data!$L$2:$L$61,1)/5)</f>
        <v>192863.666666667</v>
      </c>
      <c r="G13" s="27" t="n">
        <f aca="false">SUM(C13:F13)</f>
        <v>1026092.33333333</v>
      </c>
    </row>
    <row r="14" customFormat="false" ht="15" hidden="false" customHeight="false" outlineLevel="0" collapsed="false">
      <c r="B14" s="6" t="s">
        <v>295</v>
      </c>
      <c r="C14" s="24" t="n">
        <f aca="false">C10/C9</f>
        <v>0.360454115421003</v>
      </c>
      <c r="D14" s="24" t="n">
        <f aca="false">D10/D9</f>
        <v>0.352813852813853</v>
      </c>
      <c r="E14" s="24" t="n">
        <f aca="false">E10/E9</f>
        <v>0.256712199717381</v>
      </c>
      <c r="F14" s="24" t="n">
        <f aca="false">F10/F9</f>
        <v>0.190291262135922</v>
      </c>
      <c r="G14" s="37" t="n">
        <f aca="false">G10/G9</f>
        <v>0.282041293338527</v>
      </c>
    </row>
    <row r="15" customFormat="false" ht="15" hidden="false" customHeight="false" outlineLevel="0" collapsed="false">
      <c r="B15" s="6" t="s">
        <v>184</v>
      </c>
      <c r="C15" s="24" t="n">
        <f aca="false">C11/C10</f>
        <v>0.795275590551181</v>
      </c>
      <c r="D15" s="24" t="n">
        <f aca="false">D11/D10</f>
        <v>0.794478527607362</v>
      </c>
      <c r="E15" s="24" t="n">
        <f aca="false">E11/E10</f>
        <v>0.693577981651376</v>
      </c>
      <c r="F15" s="24" t="n">
        <f aca="false">F11/F10</f>
        <v>0.658163265306123</v>
      </c>
      <c r="G15" s="37" t="n">
        <f aca="false">G11/G10</f>
        <v>0.738259668508287</v>
      </c>
    </row>
    <row r="16" customFormat="false" ht="15" hidden="false" customHeight="false" outlineLevel="0" collapsed="false">
      <c r="B16" s="6" t="s">
        <v>185</v>
      </c>
      <c r="C16" s="24" t="n">
        <f aca="false">C12/C11</f>
        <v>0.33993399339934</v>
      </c>
      <c r="D16" s="24" t="n">
        <f aca="false">D12/D11</f>
        <v>0.33976833976834</v>
      </c>
      <c r="E16" s="24" t="n">
        <f aca="false">E12/E11</f>
        <v>0.259259259259259</v>
      </c>
      <c r="F16" s="24" t="n">
        <f aca="false">F12/F11</f>
        <v>0.193798449612403</v>
      </c>
      <c r="G16" s="37" t="n">
        <f aca="false">G12/G11</f>
        <v>0.293732460243218</v>
      </c>
    </row>
    <row r="17" customFormat="false" ht="15" hidden="false" customHeight="false" outlineLevel="0" collapsed="false">
      <c r="B17" s="6" t="s">
        <v>187</v>
      </c>
      <c r="C17" s="23" t="n">
        <f aca="false">C13/C12</f>
        <v>3786.98058252427</v>
      </c>
      <c r="D17" s="23" t="n">
        <f aca="false">D13/D12</f>
        <v>9498.95454545455</v>
      </c>
      <c r="E17" s="23" t="n">
        <f aca="false">E13/E12</f>
        <v>12997.1326530612</v>
      </c>
      <c r="F17" s="23" t="n">
        <f aca="false">F13/F12</f>
        <v>23143.64</v>
      </c>
      <c r="G17" s="27" t="n">
        <f aca="false">G13/G12</f>
        <v>9803.42993630573</v>
      </c>
    </row>
    <row r="19" customFormat="false" ht="15" hidden="false" customHeight="false" outlineLevel="0" collapsed="false">
      <c r="A19" s="8" t="s">
        <v>296</v>
      </c>
      <c r="B19" s="9"/>
      <c r="C19" s="9"/>
      <c r="D19" s="9"/>
      <c r="E19" s="9"/>
      <c r="F19" s="9"/>
      <c r="G19" s="9"/>
      <c r="H19" s="9"/>
    </row>
    <row r="20" customFormat="false" ht="15" hidden="false" customHeight="false" outlineLevel="0" collapsed="false">
      <c r="B20" s="6" t="s">
        <v>290</v>
      </c>
      <c r="C20" s="25" t="n">
        <f aca="false">SUMIFS(Data!$C$2:$C$61,Data!$H$2:$H$61,C$5,Data!$M$2:$M$61,1)/(COUNTIFS(Data!$M$2:$M$61,1)/5)</f>
        <v>345</v>
      </c>
      <c r="D20" s="25" t="n">
        <f aca="false">SUMIFS(Data!$C$2:$C$61,Data!$H$2:$H$61,D$5,Data!$M$2:$M$61,1)/(COUNTIFS(Data!$M$2:$M$61,1)/5)</f>
        <v>383</v>
      </c>
      <c r="E20" s="25" t="n">
        <f aca="false">SUMIFS(Data!$C$2:$C$61,Data!$H$2:$H$61,E$5,Data!$M$2:$M$61,1)/(COUNTIFS(Data!$M$2:$M$61,1)/5)</f>
        <v>785</v>
      </c>
      <c r="F20" s="25" t="n">
        <f aca="false">SUMIFS(Data!$C$2:$C$61,Data!$H$2:$H$61,F$5,Data!$M$2:$M$61,1)/(COUNTIFS(Data!$M$2:$M$61,1)/5)</f>
        <v>402</v>
      </c>
      <c r="G20" s="36" t="n">
        <f aca="false">SUM(C20:F20)</f>
        <v>1915</v>
      </c>
    </row>
    <row r="21" customFormat="false" ht="15" hidden="false" customHeight="false" outlineLevel="0" collapsed="false">
      <c r="B21" s="6" t="s">
        <v>291</v>
      </c>
      <c r="C21" s="25" t="n">
        <f aca="false">SUMIFS(Data!$D$2:$D$61,Data!$H$2:$H$61,C$5,Data!$M$2:$M$61,1)/(COUNTIFS(Data!$M$2:$M$61,1)/5)</f>
        <v>128</v>
      </c>
      <c r="D21" s="25" t="n">
        <f aca="false">SUMIFS(Data!$D$2:$D$61,Data!$H$2:$H$61,D$5,Data!$M$2:$M$61,1)/(COUNTIFS(Data!$M$2:$M$61,1)/5)</f>
        <v>130</v>
      </c>
      <c r="E21" s="25" t="n">
        <f aca="false">SUMIFS(Data!$D$2:$D$61,Data!$H$2:$H$61,E$5,Data!$M$2:$M$61,1)/(COUNTIFS(Data!$M$2:$M$61,1)/5)</f>
        <v>196</v>
      </c>
      <c r="F21" s="25" t="n">
        <f aca="false">SUMIFS(Data!$D$2:$D$61,Data!$H$2:$H$61,F$5,Data!$M$2:$M$61,1)/(COUNTIFS(Data!$M$2:$M$61,1)/5)</f>
        <v>84</v>
      </c>
      <c r="G21" s="36" t="n">
        <f aca="false">SUM(C21:F21)</f>
        <v>538</v>
      </c>
    </row>
    <row r="22" customFormat="false" ht="15" hidden="false" customHeight="false" outlineLevel="0" collapsed="false">
      <c r="B22" s="6" t="s">
        <v>292</v>
      </c>
      <c r="C22" s="25" t="n">
        <f aca="false">SUMIFS(Data!$E$2:$E$61,Data!$H$2:$H$61,C$5,Data!$M$2:$M$61,1)/(COUNTIFS(Data!$M$2:$M$61,1)/5)</f>
        <v>104</v>
      </c>
      <c r="D22" s="25" t="n">
        <f aca="false">SUMIFS(Data!$E$2:$E$61,Data!$H$2:$H$61,D$5,Data!$M$2:$M$61,1)/(COUNTIFS(Data!$M$2:$M$61,1)/5)</f>
        <v>107</v>
      </c>
      <c r="E22" s="25" t="n">
        <f aca="false">SUMIFS(Data!$E$2:$E$61,Data!$H$2:$H$61,E$5,Data!$M$2:$M$61,1)/(COUNTIFS(Data!$M$2:$M$61,1)/5)</f>
        <v>139</v>
      </c>
      <c r="F22" s="25" t="n">
        <f aca="false">SUMIFS(Data!$E$2:$E$61,Data!$H$2:$H$61,F$5,Data!$M$2:$M$61,1)/(COUNTIFS(Data!$M$2:$M$61,1)/5)</f>
        <v>54</v>
      </c>
      <c r="G22" s="36" t="n">
        <f aca="false">SUM(C22:F22)</f>
        <v>404</v>
      </c>
    </row>
    <row r="23" customFormat="false" ht="15" hidden="false" customHeight="false" outlineLevel="0" collapsed="false">
      <c r="B23" s="6" t="s">
        <v>293</v>
      </c>
      <c r="C23" s="25" t="n">
        <f aca="false">SUMIFS(Data!$F$2:$F$61,Data!$H$2:$H$61,C$5,Data!$M$2:$M$61,1)/(COUNTIFS(Data!$M$2:$M$61,1)/5)</f>
        <v>38</v>
      </c>
      <c r="D23" s="25" t="n">
        <f aca="false">SUMIFS(Data!$F$2:$F$61,Data!$H$2:$H$61,D$5,Data!$M$2:$M$61,1)/(COUNTIFS(Data!$M$2:$M$61,1)/5)</f>
        <v>36</v>
      </c>
      <c r="E23" s="25" t="n">
        <f aca="false">SUMIFS(Data!$F$2:$F$61,Data!$H$2:$H$61,E$5,Data!$M$2:$M$61,1)/(COUNTIFS(Data!$M$2:$M$61,1)/5)</f>
        <v>35</v>
      </c>
      <c r="F23" s="25" t="n">
        <f aca="false">SUMIFS(Data!$F$2:$F$61,Data!$H$2:$H$61,F$5,Data!$M$2:$M$61,1)/(COUNTIFS(Data!$M$2:$M$61,1)/5)</f>
        <v>11</v>
      </c>
      <c r="G23" s="36" t="n">
        <f aca="false">SUM(C23:F23)</f>
        <v>120</v>
      </c>
    </row>
    <row r="24" customFormat="false" ht="15" hidden="false" customHeight="false" outlineLevel="0" collapsed="false">
      <c r="B24" s="6" t="s">
        <v>294</v>
      </c>
      <c r="C24" s="23" t="n">
        <f aca="false">SUMIFS(Data!$G$2:$G$61,Data!$H$2:$H$61,C$5,Data!$M$2:$M$61,1)/(COUNTIFS(Data!$M$2:$M$61,1)/5)</f>
        <v>140800</v>
      </c>
      <c r="D24" s="23" t="n">
        <f aca="false">SUMIFS(Data!$G$2:$G$61,Data!$H$2:$H$61,D$5,Data!$M$2:$M$61,1)/(COUNTIFS(Data!$M$2:$M$61,1)/5)</f>
        <v>353215</v>
      </c>
      <c r="E24" s="23" t="n">
        <f aca="false">SUMIFS(Data!$G$2:$G$61,Data!$H$2:$H$61,E$5,Data!$M$2:$M$61,1)/(COUNTIFS(Data!$M$2:$M$61,1)/5)</f>
        <v>505265</v>
      </c>
      <c r="F24" s="23" t="n">
        <f aca="false">SUMIFS(Data!$G$2:$G$61,Data!$H$2:$H$61,F$5,Data!$M$2:$M$61,1)/(COUNTIFS(Data!$M$2:$M$61,1)/5)</f>
        <v>284756</v>
      </c>
      <c r="G24" s="27" t="n">
        <f aca="false">SUM(C24:F24)</f>
        <v>1284036</v>
      </c>
    </row>
    <row r="25" customFormat="false" ht="15" hidden="false" customHeight="false" outlineLevel="0" collapsed="false">
      <c r="B25" s="6" t="s">
        <v>295</v>
      </c>
      <c r="C25" s="24" t="n">
        <f aca="false">C21/C20</f>
        <v>0.371014492753623</v>
      </c>
      <c r="D25" s="24" t="n">
        <f aca="false">D21/D20</f>
        <v>0.339425587467363</v>
      </c>
      <c r="E25" s="24" t="n">
        <f aca="false">E21/E20</f>
        <v>0.24968152866242</v>
      </c>
      <c r="F25" s="24" t="n">
        <f aca="false">F21/F20</f>
        <v>0.208955223880597</v>
      </c>
      <c r="G25" s="37" t="n">
        <f aca="false">G21/G20</f>
        <v>0.280939947780679</v>
      </c>
    </row>
    <row r="26" customFormat="false" ht="15" hidden="false" customHeight="false" outlineLevel="0" collapsed="false">
      <c r="B26" s="6" t="s">
        <v>184</v>
      </c>
      <c r="C26" s="24" t="n">
        <f aca="false">C22/C21</f>
        <v>0.8125</v>
      </c>
      <c r="D26" s="24" t="n">
        <f aca="false">D22/D21</f>
        <v>0.823076923076923</v>
      </c>
      <c r="E26" s="24" t="n">
        <f aca="false">E22/E21</f>
        <v>0.709183673469388</v>
      </c>
      <c r="F26" s="24" t="n">
        <f aca="false">F22/F21</f>
        <v>0.642857142857143</v>
      </c>
      <c r="G26" s="37" t="n">
        <f aca="false">G22/G21</f>
        <v>0.75092936802974</v>
      </c>
    </row>
    <row r="27" customFormat="false" ht="15" hidden="false" customHeight="false" outlineLevel="0" collapsed="false">
      <c r="B27" s="6" t="s">
        <v>185</v>
      </c>
      <c r="C27" s="24" t="n">
        <f aca="false">C23/C22</f>
        <v>0.365384615384615</v>
      </c>
      <c r="D27" s="24" t="n">
        <f aca="false">D23/D22</f>
        <v>0.336448598130841</v>
      </c>
      <c r="E27" s="24" t="n">
        <f aca="false">E23/E22</f>
        <v>0.251798561151079</v>
      </c>
      <c r="F27" s="24" t="n">
        <f aca="false">F23/F22</f>
        <v>0.203703703703704</v>
      </c>
      <c r="G27" s="37" t="n">
        <f aca="false">G23/G22</f>
        <v>0.297029702970297</v>
      </c>
    </row>
    <row r="28" customFormat="false" ht="15" hidden="false" customHeight="false" outlineLevel="0" collapsed="false">
      <c r="B28" s="6" t="s">
        <v>187</v>
      </c>
      <c r="C28" s="23" t="n">
        <f aca="false">C24/C23</f>
        <v>3705.26315789474</v>
      </c>
      <c r="D28" s="23" t="n">
        <f aca="false">D24/D23</f>
        <v>9811.52777777778</v>
      </c>
      <c r="E28" s="23" t="n">
        <f aca="false">E24/E23</f>
        <v>14436.1428571429</v>
      </c>
      <c r="F28" s="23" t="n">
        <f aca="false">F24/F23</f>
        <v>25886.9090909091</v>
      </c>
      <c r="G28" s="27" t="n">
        <f aca="false">G24/G23</f>
        <v>10700.3</v>
      </c>
    </row>
    <row r="29" customFormat="false" ht="15" hidden="false" customHeight="false" outlineLevel="0" collapsed="false">
      <c r="B29" s="6" t="s">
        <v>297</v>
      </c>
      <c r="C29" s="24" t="n">
        <f aca="false">C20/C9-1</f>
        <v>-0.0208136234626301</v>
      </c>
      <c r="D29" s="24" t="n">
        <f aca="false">D20/D9-1</f>
        <v>0.243506493506493</v>
      </c>
      <c r="E29" s="24" t="n">
        <f aca="false">E20/E9-1</f>
        <v>0.109279321714555</v>
      </c>
      <c r="F29" s="24" t="n">
        <f aca="false">F20/F9-1</f>
        <v>0.170873786407767</v>
      </c>
      <c r="G29" s="37" t="n">
        <f aca="false">G20/G9-1</f>
        <v>0.119010518114531</v>
      </c>
    </row>
    <row r="31" customFormat="false" ht="15" hidden="false" customHeight="false" outlineLevel="0" collapsed="false">
      <c r="A31" s="8" t="s">
        <v>298</v>
      </c>
      <c r="B31" s="9"/>
      <c r="C31" s="9"/>
      <c r="D31" s="9"/>
      <c r="E31" s="9"/>
      <c r="F31" s="9"/>
      <c r="G31" s="9"/>
      <c r="H31" s="9"/>
    </row>
    <row r="32" customFormat="false" ht="15" hidden="false" customHeight="false" outlineLevel="0" collapsed="false">
      <c r="B32" s="6" t="s">
        <v>290</v>
      </c>
      <c r="C32" s="25" t="n">
        <f aca="false">SUMIFS(Data!$C$2:$C$61,Data!$H$2:$H$61,C$5,Data!$N$2:$N$61,1)/(COUNTIFS(Data!$N$2:$N$61,1)/5)</f>
        <v>319</v>
      </c>
      <c r="D32" s="25" t="n">
        <f aca="false">SUMIFS(Data!$C$2:$C$61,Data!$H$2:$H$61,D$5,Data!$N$2:$N$61,1)/(COUNTIFS(Data!$N$2:$N$61,1)/5)</f>
        <v>261</v>
      </c>
      <c r="E32" s="25" t="n">
        <f aca="false">SUMIFS(Data!$C$2:$C$61,Data!$H$2:$H$61,E$5,Data!$N$2:$N$61,1)/(COUNTIFS(Data!$N$2:$N$61,1)/5)</f>
        <v>542.833333333333</v>
      </c>
      <c r="F32" s="25" t="n">
        <f aca="false">SUMIFS(Data!$C$2:$C$61,Data!$H$2:$H$61,F$5,Data!$N$2:$N$61,1)/(COUNTIFS(Data!$N$2:$N$61,1)/5)</f>
        <v>225</v>
      </c>
      <c r="G32" s="36" t="n">
        <f aca="false">SUM(C32:F32)</f>
        <v>1347.83333333333</v>
      </c>
    </row>
    <row r="33" customFormat="false" ht="15" hidden="false" customHeight="false" outlineLevel="0" collapsed="false">
      <c r="B33" s="6" t="s">
        <v>291</v>
      </c>
      <c r="C33" s="25" t="n">
        <f aca="false">SUMIFS(Data!$D$2:$D$61,Data!$H$2:$H$61,C$5,Data!$N$2:$N$61,1)/(COUNTIFS(Data!$N$2:$N$61,1)/5)</f>
        <v>126.166666666667</v>
      </c>
      <c r="D33" s="25" t="n">
        <f aca="false">SUMIFS(Data!$D$2:$D$61,Data!$H$2:$H$61,D$5,Data!$N$2:$N$61,1)/(COUNTIFS(Data!$N$2:$N$61,1)/5)</f>
        <v>101.666666666667</v>
      </c>
      <c r="E33" s="25" t="n">
        <f aca="false">SUMIFS(Data!$D$2:$D$61,Data!$H$2:$H$61,E$5,Data!$N$2:$N$61,1)/(COUNTIFS(Data!$N$2:$N$61,1)/5)</f>
        <v>149.166666666667</v>
      </c>
      <c r="F33" s="25" t="n">
        <f aca="false">SUMIFS(Data!$D$2:$D$61,Data!$H$2:$H$61,F$5,Data!$N$2:$N$61,1)/(COUNTIFS(Data!$N$2:$N$61,1)/5)</f>
        <v>43.6666666666667</v>
      </c>
      <c r="G33" s="36" t="n">
        <f aca="false">SUM(C33:F33)</f>
        <v>420.666666666667</v>
      </c>
    </row>
    <row r="34" customFormat="false" ht="15" hidden="false" customHeight="false" outlineLevel="0" collapsed="false">
      <c r="B34" s="6" t="s">
        <v>299</v>
      </c>
      <c r="C34" s="24" t="n">
        <f aca="false">C33/C32</f>
        <v>0.395506792058516</v>
      </c>
      <c r="D34" s="24" t="n">
        <f aca="false">D33/D32</f>
        <v>0.389527458492976</v>
      </c>
      <c r="E34" s="24" t="n">
        <f aca="false">E33/E32</f>
        <v>0.274792754068161</v>
      </c>
      <c r="F34" s="24" t="n">
        <f aca="false">F33/F32</f>
        <v>0.194074074074074</v>
      </c>
      <c r="G34" s="37" t="n">
        <f aca="false">G33/G32</f>
        <v>0.312105848893286</v>
      </c>
    </row>
    <row r="35" customFormat="false" ht="15" hidden="false" customHeight="false" outlineLevel="0" collapsed="false">
      <c r="B35" s="6" t="s">
        <v>300</v>
      </c>
      <c r="C35" s="24" t="n">
        <f aca="false">C34-C14</f>
        <v>0.0350526766375133</v>
      </c>
      <c r="D35" s="24" t="n">
        <f aca="false">D34-D14</f>
        <v>0.036713605679123</v>
      </c>
      <c r="E35" s="24" t="n">
        <f aca="false">E34-E14</f>
        <v>0.0180805543507798</v>
      </c>
      <c r="F35" s="24" t="n">
        <f aca="false">F34-F14</f>
        <v>0.00378281193815175</v>
      </c>
      <c r="G35" s="37" t="n">
        <f aca="false">G34-G14</f>
        <v>0.0300645555547581</v>
      </c>
    </row>
    <row r="37" customFormat="false" ht="15" hidden="false" customHeight="false" outlineLevel="0" collapsed="false">
      <c r="A37" s="8" t="s">
        <v>301</v>
      </c>
      <c r="B37" s="9"/>
      <c r="C37" s="9"/>
      <c r="D37" s="9"/>
      <c r="E37" s="9"/>
      <c r="F37" s="9"/>
      <c r="G37" s="9"/>
      <c r="H37" s="9"/>
    </row>
    <row r="38" customFormat="false" ht="15" hidden="false" customHeight="false" outlineLevel="0" collapsed="false">
      <c r="B38" s="6" t="s">
        <v>302</v>
      </c>
      <c r="C38" s="25" t="n">
        <f aca="false">C9*(1-Inputs!$C$27)</f>
        <v>299.483333333333</v>
      </c>
      <c r="D38" s="25" t="n">
        <f aca="false">D9*(1-Inputs!$C$27)</f>
        <v>261.8</v>
      </c>
      <c r="E38" s="25" t="n">
        <f aca="false">E9*(1-Inputs!$C$27)</f>
        <v>601.516666666667</v>
      </c>
      <c r="F38" s="25" t="n">
        <f aca="false">F9*(1-Inputs!$C$27)</f>
        <v>291.833333333333</v>
      </c>
      <c r="G38" s="36" t="n">
        <f aca="false">SUM(C38:F38)</f>
        <v>1454.63333333333</v>
      </c>
    </row>
    <row r="39" customFormat="false" ht="15" hidden="false" customHeight="false" outlineLevel="0" collapsed="false">
      <c r="B39" s="6" t="s">
        <v>303</v>
      </c>
      <c r="C39" s="23" t="n">
        <f aca="false">SUMIFS(Data!$G$2:$G$61,Data!$H$2:$H$61,C$5,Data!$O$2:$O$61,1)/(COUNTIFS(Data!$O$2:$O$61,1)/5)</f>
        <v>41911</v>
      </c>
      <c r="D39" s="23" t="n">
        <f aca="false">SUMIFS(Data!$G$2:$G$61,Data!$H$2:$H$61,D$5,Data!$O$2:$O$61,1)/(COUNTIFS(Data!$O$2:$O$61,1)/5)</f>
        <v>96625.5</v>
      </c>
      <c r="E39" s="23" t="n">
        <f aca="false">SUMIFS(Data!$G$2:$G$61,Data!$H$2:$H$61,E$5,Data!$O$2:$O$61,1)/(COUNTIFS(Data!$O$2:$O$61,1)/5)</f>
        <v>176133</v>
      </c>
      <c r="F39" s="23" t="n">
        <f aca="false">SUMIFS(Data!$G$2:$G$61,Data!$H$2:$H$61,F$5,Data!$O$2:$O$61,1)/(COUNTIFS(Data!$O$2:$O$61,1)/5)</f>
        <v>88047.5</v>
      </c>
      <c r="G39" s="27" t="n">
        <f aca="false">SUM(C39:F39)</f>
        <v>402717</v>
      </c>
    </row>
    <row r="40" customFormat="false" ht="15" hidden="false" customHeight="false" outlineLevel="0" collapsed="false">
      <c r="B40" s="6" t="s">
        <v>304</v>
      </c>
      <c r="G40" s="37" t="n">
        <f aca="false">G39/G13</f>
        <v>0.392476375582834</v>
      </c>
    </row>
    <row r="41" customFormat="false" ht="15" hidden="false" customHeight="false" outlineLevel="0" collapsed="false">
      <c r="B41" s="6" t="s">
        <v>305</v>
      </c>
      <c r="G41" s="37" t="n">
        <f aca="false">(SUMIFS(Data!$C$2:$C$61,Data!$O$2:$O$61,1)/(COUNTIFS(Data!$O$2:$O$61,1)/5))/G9</f>
        <v>0.589014413712505</v>
      </c>
    </row>
    <row r="43" customFormat="false" ht="15" hidden="false" customHeight="false" outlineLevel="0" collapsed="false">
      <c r="B43" s="2" t="s">
        <v>306</v>
      </c>
    </row>
    <row r="44" customFormat="false" ht="15" hidden="false" customHeight="false" outlineLevel="0" collapsed="false">
      <c r="B44" s="2" t="s">
        <v>307</v>
      </c>
    </row>
    <row r="45" customFormat="false" ht="15" hidden="false" customHeight="false" outlineLevel="0" collapsed="false">
      <c r="B45" s="2" t="s">
        <v>308</v>
      </c>
    </row>
    <row r="46" customFormat="false" ht="15" hidden="false" customHeight="false" outlineLevel="0" collapsed="false">
      <c r="B46" s="2" t="s">
        <v>309</v>
      </c>
    </row>
    <row r="47" customFormat="false" ht="15" hidden="false" customHeight="false" outlineLevel="0" collapsed="false">
      <c r="B47" s="2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W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0"/>
    <col collapsed="false" customWidth="true" hidden="false" outlineLevel="0" max="6" min="3" style="0" width="13"/>
    <col collapsed="false" customWidth="true" hidden="false" outlineLevel="0" max="7" min="7" style="0" width="14"/>
    <col collapsed="false" customWidth="true" hidden="false" outlineLevel="0" max="11" min="8" style="0" width="13"/>
    <col collapsed="false" customWidth="true" hidden="false" outlineLevel="0" max="12" min="12" style="0" width="14"/>
    <col collapsed="false" customWidth="true" hidden="false" outlineLevel="0" max="16" min="13" style="0" width="13"/>
    <col collapsed="false" customWidth="true" hidden="false" outlineLevel="0" max="17" min="17" style="0" width="14"/>
    <col collapsed="false" customWidth="true" hidden="false" outlineLevel="0" max="21" min="18" style="0" width="13"/>
    <col collapsed="false" customWidth="true" hidden="false" outlineLevel="0" max="22" min="22" style="0" width="14"/>
  </cols>
  <sheetData>
    <row r="1" customFormat="false" ht="17.3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4" customFormat="false" ht="15" hidden="false" customHeight="false" outlineLevel="0" collapsed="false">
      <c r="B4" s="3" t="s">
        <v>313</v>
      </c>
      <c r="C4" s="38" t="s">
        <v>122</v>
      </c>
      <c r="D4" s="38" t="s">
        <v>122</v>
      </c>
      <c r="E4" s="38" t="s">
        <v>122</v>
      </c>
      <c r="F4" s="38" t="s">
        <v>122</v>
      </c>
      <c r="G4" s="38" t="s">
        <v>122</v>
      </c>
      <c r="H4" s="38" t="s">
        <v>123</v>
      </c>
      <c r="I4" s="38" t="s">
        <v>123</v>
      </c>
      <c r="J4" s="38" t="s">
        <v>123</v>
      </c>
      <c r="K4" s="38" t="s">
        <v>123</v>
      </c>
      <c r="L4" s="38" t="s">
        <v>123</v>
      </c>
      <c r="M4" s="38" t="s">
        <v>124</v>
      </c>
      <c r="N4" s="38" t="s">
        <v>124</v>
      </c>
      <c r="O4" s="38" t="s">
        <v>124</v>
      </c>
      <c r="P4" s="38" t="s">
        <v>124</v>
      </c>
      <c r="Q4" s="38" t="s">
        <v>124</v>
      </c>
      <c r="R4" s="38" t="s">
        <v>125</v>
      </c>
      <c r="S4" s="38" t="s">
        <v>125</v>
      </c>
      <c r="T4" s="38" t="s">
        <v>125</v>
      </c>
      <c r="U4" s="38" t="s">
        <v>125</v>
      </c>
      <c r="V4" s="38" t="s">
        <v>125</v>
      </c>
    </row>
    <row r="5" customFormat="false" ht="15" hidden="false" customHeight="false" outlineLevel="0" collapsed="false">
      <c r="B5" s="3" t="s">
        <v>255</v>
      </c>
      <c r="C5" s="38" t="s">
        <v>170</v>
      </c>
      <c r="D5" s="38" t="s">
        <v>314</v>
      </c>
      <c r="E5" s="38" t="s">
        <v>315</v>
      </c>
      <c r="F5" s="38" t="s">
        <v>176</v>
      </c>
      <c r="G5" s="38" t="s">
        <v>194</v>
      </c>
      <c r="H5" s="38" t="s">
        <v>170</v>
      </c>
      <c r="I5" s="38" t="s">
        <v>314</v>
      </c>
      <c r="J5" s="38" t="s">
        <v>315</v>
      </c>
      <c r="K5" s="38" t="s">
        <v>176</v>
      </c>
      <c r="L5" s="38" t="s">
        <v>194</v>
      </c>
      <c r="M5" s="38" t="s">
        <v>170</v>
      </c>
      <c r="N5" s="38" t="s">
        <v>314</v>
      </c>
      <c r="O5" s="38" t="s">
        <v>315</v>
      </c>
      <c r="P5" s="38" t="s">
        <v>176</v>
      </c>
      <c r="Q5" s="38" t="s">
        <v>194</v>
      </c>
      <c r="R5" s="38" t="s">
        <v>170</v>
      </c>
      <c r="S5" s="38" t="s">
        <v>314</v>
      </c>
      <c r="T5" s="38" t="s">
        <v>315</v>
      </c>
      <c r="U5" s="38" t="s">
        <v>176</v>
      </c>
      <c r="V5" s="38" t="s">
        <v>194</v>
      </c>
    </row>
    <row r="6" customFormat="false" ht="15" hidden="false" customHeight="false" outlineLevel="0" collapsed="false">
      <c r="A6" s="8" t="s">
        <v>316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</row>
    <row r="7" customFormat="false" ht="15" hidden="false" customHeight="false" outlineLevel="0" collapsed="false">
      <c r="B7" s="6" t="s">
        <v>317</v>
      </c>
      <c r="C7" s="39" t="n">
        <f aca="false">Inputs!$C$52</f>
        <v>1</v>
      </c>
      <c r="D7" s="39" t="n">
        <f aca="false">Inputs!$C$52</f>
        <v>1</v>
      </c>
      <c r="E7" s="39" t="n">
        <f aca="false">Inputs!$C$52</f>
        <v>1</v>
      </c>
      <c r="F7" s="39" t="n">
        <f aca="false">Inputs!$C$52</f>
        <v>1</v>
      </c>
      <c r="G7" s="40"/>
      <c r="H7" s="39" t="n">
        <f aca="false">Inputs!$D$52</f>
        <v>2</v>
      </c>
      <c r="I7" s="39" t="n">
        <f aca="false">Inputs!$D$52</f>
        <v>2</v>
      </c>
      <c r="J7" s="39" t="n">
        <f aca="false">Inputs!$D$52</f>
        <v>2</v>
      </c>
      <c r="K7" s="39" t="n">
        <f aca="false">Inputs!$D$52</f>
        <v>2</v>
      </c>
      <c r="L7" s="40"/>
      <c r="M7" s="39" t="n">
        <f aca="false">Inputs!$E$52</f>
        <v>2</v>
      </c>
      <c r="N7" s="39" t="n">
        <f aca="false">Inputs!$E$52</f>
        <v>2</v>
      </c>
      <c r="O7" s="39" t="n">
        <f aca="false">Inputs!$E$52</f>
        <v>2</v>
      </c>
      <c r="P7" s="39" t="n">
        <f aca="false">Inputs!$E$52</f>
        <v>2</v>
      </c>
      <c r="Q7" s="40"/>
      <c r="R7" s="39" t="n">
        <f aca="false">Inputs!$F$52</f>
        <v>3</v>
      </c>
      <c r="S7" s="39" t="n">
        <f aca="false">Inputs!$F$52</f>
        <v>3</v>
      </c>
      <c r="T7" s="39" t="n">
        <f aca="false">Inputs!$F$52</f>
        <v>3</v>
      </c>
      <c r="U7" s="39" t="n">
        <f aca="false">Inputs!$F$52</f>
        <v>3</v>
      </c>
      <c r="V7" s="40"/>
    </row>
    <row r="8" customFormat="false" ht="15" hidden="false" customHeight="false" outlineLevel="0" collapsed="false">
      <c r="B8" s="6" t="s">
        <v>290</v>
      </c>
      <c r="C8" s="41" t="n">
        <f aca="false">CHOOSE(C7,Demand!C38,Demand!C9,Demand!C20)</f>
        <v>299.483333333333</v>
      </c>
      <c r="D8" s="41" t="n">
        <f aca="false">CHOOSE(D7,Demand!D38,Demand!D9,Demand!D20)</f>
        <v>261.8</v>
      </c>
      <c r="E8" s="41" t="n">
        <f aca="false">CHOOSE(E7,Demand!E38,Demand!E9,Demand!E20)</f>
        <v>601.516666666667</v>
      </c>
      <c r="F8" s="41" t="n">
        <f aca="false">CHOOSE(F7,Demand!F38,Demand!F9,Demand!F20)</f>
        <v>291.833333333333</v>
      </c>
      <c r="G8" s="42" t="n">
        <f aca="false">SUM(C8:F8)</f>
        <v>1454.63333333333</v>
      </c>
      <c r="H8" s="41" t="n">
        <f aca="false">CHOOSE(H7,Demand!C38,Demand!C9,Demand!C20)</f>
        <v>352.333333333333</v>
      </c>
      <c r="I8" s="41" t="n">
        <f aca="false">CHOOSE(I7,Demand!D38,Demand!D9,Demand!D20)</f>
        <v>308</v>
      </c>
      <c r="J8" s="41" t="n">
        <f aca="false">CHOOSE(J7,Demand!E38,Demand!E9,Demand!E20)</f>
        <v>707.666666666667</v>
      </c>
      <c r="K8" s="41" t="n">
        <f aca="false">CHOOSE(K7,Demand!F38,Demand!F9,Demand!F20)</f>
        <v>343.333333333333</v>
      </c>
      <c r="L8" s="42" t="n">
        <f aca="false">SUM(H8:K8)</f>
        <v>1711.33333333333</v>
      </c>
      <c r="M8" s="41" t="n">
        <f aca="false">CHOOSE(M7,Demand!C38,Demand!C9,Demand!C20)</f>
        <v>352.333333333333</v>
      </c>
      <c r="N8" s="41" t="n">
        <f aca="false">CHOOSE(N7,Demand!D38,Demand!D9,Demand!D20)</f>
        <v>308</v>
      </c>
      <c r="O8" s="41" t="n">
        <f aca="false">CHOOSE(O7,Demand!E38,Demand!E9,Demand!E20)</f>
        <v>707.666666666667</v>
      </c>
      <c r="P8" s="41" t="n">
        <f aca="false">CHOOSE(P7,Demand!F38,Demand!F9,Demand!F20)</f>
        <v>343.333333333333</v>
      </c>
      <c r="Q8" s="42" t="n">
        <f aca="false">SUM(M8:P8)</f>
        <v>1711.33333333333</v>
      </c>
      <c r="R8" s="41" t="n">
        <f aca="false">CHOOSE(R7,Demand!C38,Demand!C9,Demand!C20)</f>
        <v>345</v>
      </c>
      <c r="S8" s="41" t="n">
        <f aca="false">CHOOSE(S7,Demand!D38,Demand!D9,Demand!D20)</f>
        <v>383</v>
      </c>
      <c r="T8" s="41" t="n">
        <f aca="false">CHOOSE(T7,Demand!E38,Demand!E9,Demand!E20)</f>
        <v>785</v>
      </c>
      <c r="U8" s="41" t="n">
        <f aca="false">CHOOSE(U7,Demand!F38,Demand!F9,Demand!F20)</f>
        <v>402</v>
      </c>
      <c r="V8" s="42" t="n">
        <f aca="false">SUM(R8:U8)</f>
        <v>1915</v>
      </c>
    </row>
    <row r="9" customFormat="false" ht="15" hidden="false" customHeight="false" outlineLevel="0" collapsed="false">
      <c r="B9" s="6" t="s">
        <v>318</v>
      </c>
      <c r="C9" s="31" t="n">
        <f aca="false">IF(Inputs!$C$52=3,Demand!C25,Demand!C14)</f>
        <v>0.360454115421003</v>
      </c>
      <c r="D9" s="31" t="n">
        <f aca="false">IF(Inputs!$C$52=3,Demand!D25,Demand!D14)</f>
        <v>0.352813852813853</v>
      </c>
      <c r="E9" s="31" t="n">
        <f aca="false">IF(Inputs!$C$52=3,Demand!E25,Demand!E14)</f>
        <v>0.256712199717381</v>
      </c>
      <c r="F9" s="31" t="n">
        <f aca="false">IF(Inputs!$C$52=3,Demand!F25,Demand!F14)</f>
        <v>0.190291262135922</v>
      </c>
      <c r="G9" s="43" t="n">
        <f aca="false">SUMPRODUCT(C8:F8,C9:F9)/G8</f>
        <v>0.282041293338527</v>
      </c>
      <c r="H9" s="31" t="n">
        <f aca="false">IF(Inputs!$D$52=3,Demand!C25,Demand!C14)</f>
        <v>0.360454115421003</v>
      </c>
      <c r="I9" s="31" t="n">
        <f aca="false">IF(Inputs!$D$52=3,Demand!D25,Demand!D14)</f>
        <v>0.352813852813853</v>
      </c>
      <c r="J9" s="31" t="n">
        <f aca="false">IF(Inputs!$D$52=3,Demand!E25,Demand!E14)</f>
        <v>0.256712199717381</v>
      </c>
      <c r="K9" s="31" t="n">
        <f aca="false">IF(Inputs!$D$52=3,Demand!F25,Demand!F14)</f>
        <v>0.190291262135922</v>
      </c>
      <c r="L9" s="43" t="n">
        <f aca="false">SUMPRODUCT(H8:K8,H9:K9)/L8</f>
        <v>0.282041293338527</v>
      </c>
      <c r="M9" s="31" t="n">
        <f aca="false">IF(Inputs!$E$52=3,Demand!C25,Demand!C14)</f>
        <v>0.360454115421003</v>
      </c>
      <c r="N9" s="31" t="n">
        <f aca="false">IF(Inputs!$E$52=3,Demand!D25,Demand!D14)</f>
        <v>0.352813852813853</v>
      </c>
      <c r="O9" s="31" t="n">
        <f aca="false">IF(Inputs!$E$52=3,Demand!E25,Demand!E14)</f>
        <v>0.256712199717381</v>
      </c>
      <c r="P9" s="31" t="n">
        <f aca="false">IF(Inputs!$E$52=3,Demand!F25,Demand!F14)</f>
        <v>0.190291262135922</v>
      </c>
      <c r="Q9" s="43" t="n">
        <f aca="false">SUMPRODUCT(M8:P8,M9:P9)/Q8</f>
        <v>0.282041293338527</v>
      </c>
      <c r="R9" s="31" t="n">
        <f aca="false">IF(Inputs!$F$52=3,Demand!C25,Demand!C14)</f>
        <v>0.371014492753623</v>
      </c>
      <c r="S9" s="31" t="n">
        <f aca="false">IF(Inputs!$F$52=3,Demand!D25,Demand!D14)</f>
        <v>0.339425587467363</v>
      </c>
      <c r="T9" s="31" t="n">
        <f aca="false">IF(Inputs!$F$52=3,Demand!E25,Demand!E14)</f>
        <v>0.24968152866242</v>
      </c>
      <c r="U9" s="31" t="n">
        <f aca="false">IF(Inputs!$F$52=3,Demand!F25,Demand!F14)</f>
        <v>0.208955223880597</v>
      </c>
      <c r="V9" s="43" t="n">
        <f aca="false">SUMPRODUCT(R8:U8,R9:U9)/V8</f>
        <v>0.280939947780679</v>
      </c>
    </row>
    <row r="10" customFormat="false" ht="15" hidden="false" customHeight="false" outlineLevel="0" collapsed="false">
      <c r="B10" s="6" t="s">
        <v>319</v>
      </c>
      <c r="C10" s="31" t="n">
        <f aca="false">IF(Inputs!$C$52=3,Demand!C26,Demand!C15)</f>
        <v>0.795275590551181</v>
      </c>
      <c r="D10" s="31" t="n">
        <f aca="false">IF(Inputs!$C$52=3,Demand!D26,Demand!D15)</f>
        <v>0.794478527607362</v>
      </c>
      <c r="E10" s="31" t="n">
        <f aca="false">IF(Inputs!$C$52=3,Demand!E26,Demand!E15)</f>
        <v>0.693577981651376</v>
      </c>
      <c r="F10" s="31" t="n">
        <f aca="false">IF(Inputs!$C$52=3,Demand!F26,Demand!F15)</f>
        <v>0.658163265306123</v>
      </c>
      <c r="G10" s="40"/>
      <c r="H10" s="31" t="n">
        <f aca="false">IF(Inputs!$D$52=3,Demand!C26,Demand!C15)</f>
        <v>0.795275590551181</v>
      </c>
      <c r="I10" s="31" t="n">
        <f aca="false">IF(Inputs!$D$52=3,Demand!D26,Demand!D15)</f>
        <v>0.794478527607362</v>
      </c>
      <c r="J10" s="31" t="n">
        <f aca="false">IF(Inputs!$D$52=3,Demand!E26,Demand!E15)</f>
        <v>0.693577981651376</v>
      </c>
      <c r="K10" s="31" t="n">
        <f aca="false">IF(Inputs!$D$52=3,Demand!F26,Demand!F15)</f>
        <v>0.658163265306123</v>
      </c>
      <c r="L10" s="40"/>
      <c r="M10" s="31" t="n">
        <f aca="false">IF(Inputs!$E$52=3,Demand!C26,Demand!C15)</f>
        <v>0.795275590551181</v>
      </c>
      <c r="N10" s="31" t="n">
        <f aca="false">IF(Inputs!$E$52=3,Demand!D26,Demand!D15)</f>
        <v>0.794478527607362</v>
      </c>
      <c r="O10" s="31" t="n">
        <f aca="false">IF(Inputs!$E$52=3,Demand!E26,Demand!E15)</f>
        <v>0.693577981651376</v>
      </c>
      <c r="P10" s="31" t="n">
        <f aca="false">IF(Inputs!$E$52=3,Demand!F26,Demand!F15)</f>
        <v>0.658163265306123</v>
      </c>
      <c r="Q10" s="40"/>
      <c r="R10" s="31" t="n">
        <f aca="false">IF(Inputs!$F$52=3,Demand!C26,Demand!C15)</f>
        <v>0.8125</v>
      </c>
      <c r="S10" s="31" t="n">
        <f aca="false">IF(Inputs!$F$52=3,Demand!D26,Demand!D15)</f>
        <v>0.823076923076923</v>
      </c>
      <c r="T10" s="31" t="n">
        <f aca="false">IF(Inputs!$F$52=3,Demand!E26,Demand!E15)</f>
        <v>0.709183673469388</v>
      </c>
      <c r="U10" s="31" t="n">
        <f aca="false">IF(Inputs!$F$52=3,Demand!F26,Demand!F15)</f>
        <v>0.642857142857143</v>
      </c>
      <c r="V10" s="40"/>
    </row>
    <row r="11" customFormat="false" ht="15" hidden="false" customHeight="false" outlineLevel="0" collapsed="false">
      <c r="B11" s="6" t="s">
        <v>320</v>
      </c>
      <c r="C11" s="31" t="n">
        <f aca="false">IF(Inputs!$C$52=3,Demand!C27,Demand!C16)</f>
        <v>0.33993399339934</v>
      </c>
      <c r="D11" s="31" t="n">
        <f aca="false">IF(Inputs!$C$52=3,Demand!D27,Demand!D16)</f>
        <v>0.33976833976834</v>
      </c>
      <c r="E11" s="31" t="n">
        <f aca="false">IF(Inputs!$C$52=3,Demand!E27,Demand!E16)</f>
        <v>0.259259259259259</v>
      </c>
      <c r="F11" s="31" t="n">
        <f aca="false">IF(Inputs!$C$52=3,Demand!F27,Demand!F16)</f>
        <v>0.193798449612403</v>
      </c>
      <c r="G11" s="40"/>
      <c r="H11" s="31" t="n">
        <f aca="false">IF(Inputs!$D$52=3,Demand!C27,Demand!C16)</f>
        <v>0.33993399339934</v>
      </c>
      <c r="I11" s="31" t="n">
        <f aca="false">IF(Inputs!$D$52=3,Demand!D27,Demand!D16)</f>
        <v>0.33976833976834</v>
      </c>
      <c r="J11" s="31" t="n">
        <f aca="false">IF(Inputs!$D$52=3,Demand!E27,Demand!E16)</f>
        <v>0.259259259259259</v>
      </c>
      <c r="K11" s="31" t="n">
        <f aca="false">IF(Inputs!$D$52=3,Demand!F27,Demand!F16)</f>
        <v>0.193798449612403</v>
      </c>
      <c r="L11" s="40"/>
      <c r="M11" s="31" t="n">
        <f aca="false">IF(Inputs!$E$52=3,Demand!C27,Demand!C16)</f>
        <v>0.33993399339934</v>
      </c>
      <c r="N11" s="31" t="n">
        <f aca="false">IF(Inputs!$E$52=3,Demand!D27,Demand!D16)</f>
        <v>0.33976833976834</v>
      </c>
      <c r="O11" s="31" t="n">
        <f aca="false">IF(Inputs!$E$52=3,Demand!E27,Demand!E16)</f>
        <v>0.259259259259259</v>
      </c>
      <c r="P11" s="31" t="n">
        <f aca="false">IF(Inputs!$E$52=3,Demand!F27,Demand!F16)</f>
        <v>0.193798449612403</v>
      </c>
      <c r="Q11" s="40"/>
      <c r="R11" s="31" t="n">
        <f aca="false">IF(Inputs!$F$52=3,Demand!C27,Demand!C16)</f>
        <v>0.365384615384615</v>
      </c>
      <c r="S11" s="31" t="n">
        <f aca="false">IF(Inputs!$F$52=3,Demand!D27,Demand!D16)</f>
        <v>0.336448598130841</v>
      </c>
      <c r="T11" s="31" t="n">
        <f aca="false">IF(Inputs!$F$52=3,Demand!E27,Demand!E16)</f>
        <v>0.251798561151079</v>
      </c>
      <c r="U11" s="31" t="n">
        <f aca="false">IF(Inputs!$F$52=3,Demand!F27,Demand!F16)</f>
        <v>0.203703703703704</v>
      </c>
      <c r="V11" s="40"/>
    </row>
    <row r="12" customFormat="false" ht="15" hidden="false" customHeight="false" outlineLevel="0" collapsed="false">
      <c r="B12" s="6" t="s">
        <v>321</v>
      </c>
      <c r="C12" s="30" t="n">
        <f aca="false">IF(Inputs!$C$52=3,Demand!C28,Demand!C17)</f>
        <v>3786.98058252427</v>
      </c>
      <c r="D12" s="30" t="n">
        <f aca="false">IF(Inputs!$C$52=3,Demand!D28,Demand!D17)</f>
        <v>9498.95454545455</v>
      </c>
      <c r="E12" s="30" t="n">
        <f aca="false">IF(Inputs!$C$52=3,Demand!E28,Demand!E17)</f>
        <v>12997.1326530612</v>
      </c>
      <c r="F12" s="30" t="n">
        <f aca="false">IF(Inputs!$C$52=3,Demand!F28,Demand!F17)</f>
        <v>23143.64</v>
      </c>
      <c r="G12" s="40"/>
      <c r="H12" s="30" t="n">
        <f aca="false">IF(Inputs!$D$52=3,Demand!C28,Demand!C17)</f>
        <v>3786.98058252427</v>
      </c>
      <c r="I12" s="30" t="n">
        <f aca="false">IF(Inputs!$D$52=3,Demand!D28,Demand!D17)</f>
        <v>9498.95454545455</v>
      </c>
      <c r="J12" s="30" t="n">
        <f aca="false">IF(Inputs!$D$52=3,Demand!E28,Demand!E17)</f>
        <v>12997.1326530612</v>
      </c>
      <c r="K12" s="30" t="n">
        <f aca="false">IF(Inputs!$D$52=3,Demand!F28,Demand!F17)</f>
        <v>23143.64</v>
      </c>
      <c r="L12" s="40"/>
      <c r="M12" s="30" t="n">
        <f aca="false">IF(Inputs!$E$52=3,Demand!C28,Demand!C17)</f>
        <v>3786.98058252427</v>
      </c>
      <c r="N12" s="30" t="n">
        <f aca="false">IF(Inputs!$E$52=3,Demand!D28,Demand!D17)</f>
        <v>9498.95454545455</v>
      </c>
      <c r="O12" s="30" t="n">
        <f aca="false">IF(Inputs!$E$52=3,Demand!E28,Demand!E17)</f>
        <v>12997.1326530612</v>
      </c>
      <c r="P12" s="30" t="n">
        <f aca="false">IF(Inputs!$E$52=3,Demand!F28,Demand!F17)</f>
        <v>23143.64</v>
      </c>
      <c r="Q12" s="40"/>
      <c r="R12" s="30" t="n">
        <f aca="false">IF(Inputs!$F$52=3,Demand!C28,Demand!C17)</f>
        <v>3705.26315789474</v>
      </c>
      <c r="S12" s="30" t="n">
        <f aca="false">IF(Inputs!$F$52=3,Demand!D28,Demand!D17)</f>
        <v>9811.52777777778</v>
      </c>
      <c r="T12" s="30" t="n">
        <f aca="false">IF(Inputs!$F$52=3,Demand!E28,Demand!E17)</f>
        <v>14436.1428571429</v>
      </c>
      <c r="U12" s="30" t="n">
        <f aca="false">IF(Inputs!$F$52=3,Demand!F28,Demand!F17)</f>
        <v>25886.9090909091</v>
      </c>
      <c r="V12" s="40"/>
    </row>
    <row r="13" customFormat="false" ht="15" hidden="false" customHeight="false" outlineLevel="0" collapsed="false">
      <c r="B13" s="6" t="s">
        <v>322</v>
      </c>
      <c r="C13" s="31" t="n">
        <f aca="false">Demand!C34</f>
        <v>0.395506792058516</v>
      </c>
      <c r="D13" s="31" t="n">
        <f aca="false">Demand!D34</f>
        <v>0.389527458492976</v>
      </c>
      <c r="E13" s="31" t="n">
        <f aca="false">Demand!E34</f>
        <v>0.274792754068161</v>
      </c>
      <c r="F13" s="31" t="n">
        <f aca="false">Demand!F34</f>
        <v>0.194074074074074</v>
      </c>
      <c r="G13" s="40"/>
      <c r="H13" s="31" t="n">
        <f aca="false">Demand!C34</f>
        <v>0.395506792058516</v>
      </c>
      <c r="I13" s="31" t="n">
        <f aca="false">Demand!D34</f>
        <v>0.389527458492976</v>
      </c>
      <c r="J13" s="31" t="n">
        <f aca="false">Demand!E34</f>
        <v>0.274792754068161</v>
      </c>
      <c r="K13" s="31" t="n">
        <f aca="false">Demand!F34</f>
        <v>0.194074074074074</v>
      </c>
      <c r="L13" s="40"/>
      <c r="M13" s="31" t="n">
        <f aca="false">Demand!C34</f>
        <v>0.395506792058516</v>
      </c>
      <c r="N13" s="31" t="n">
        <f aca="false">Demand!D34</f>
        <v>0.389527458492976</v>
      </c>
      <c r="O13" s="31" t="n">
        <f aca="false">Demand!E34</f>
        <v>0.274792754068161</v>
      </c>
      <c r="P13" s="31" t="n">
        <f aca="false">Demand!F34</f>
        <v>0.194074074074074</v>
      </c>
      <c r="Q13" s="40"/>
      <c r="R13" s="31" t="n">
        <f aca="false">Demand!C34</f>
        <v>0.395506792058516</v>
      </c>
      <c r="S13" s="31" t="n">
        <f aca="false">Demand!D34</f>
        <v>0.389527458492976</v>
      </c>
      <c r="T13" s="31" t="n">
        <f aca="false">Demand!E34</f>
        <v>0.274792754068161</v>
      </c>
      <c r="U13" s="31" t="n">
        <f aca="false">Demand!F34</f>
        <v>0.194074074074074</v>
      </c>
      <c r="V13" s="40"/>
    </row>
    <row r="14" customFormat="false" ht="15" hidden="false" customHeight="false" outlineLevel="0" collapsed="false">
      <c r="B14" s="6" t="s">
        <v>323</v>
      </c>
      <c r="C14" s="39" t="n">
        <f aca="false">Inputs!$C$41</f>
        <v>1</v>
      </c>
      <c r="D14" s="39" t="n">
        <f aca="false">Inputs!$D$41</f>
        <v>1</v>
      </c>
      <c r="E14" s="39" t="n">
        <f aca="false">Inputs!$E$41</f>
        <v>1</v>
      </c>
      <c r="F14" s="39" t="n">
        <f aca="false">Inputs!$F$41</f>
        <v>0</v>
      </c>
      <c r="G14" s="40"/>
      <c r="H14" s="39" t="n">
        <f aca="false">Inputs!$C$41</f>
        <v>1</v>
      </c>
      <c r="I14" s="39" t="n">
        <f aca="false">Inputs!$D$41</f>
        <v>1</v>
      </c>
      <c r="J14" s="39" t="n">
        <f aca="false">Inputs!$E$41</f>
        <v>1</v>
      </c>
      <c r="K14" s="39" t="n">
        <f aca="false">Inputs!$F$41</f>
        <v>0</v>
      </c>
      <c r="L14" s="40"/>
      <c r="M14" s="39" t="n">
        <f aca="false">Inputs!$C$41</f>
        <v>1</v>
      </c>
      <c r="N14" s="39" t="n">
        <f aca="false">Inputs!$D$41</f>
        <v>1</v>
      </c>
      <c r="O14" s="39" t="n">
        <f aca="false">Inputs!$E$41</f>
        <v>1</v>
      </c>
      <c r="P14" s="39" t="n">
        <f aca="false">Inputs!$F$41</f>
        <v>0</v>
      </c>
      <c r="Q14" s="40"/>
      <c r="R14" s="39" t="n">
        <f aca="false">Inputs!$C$41</f>
        <v>1</v>
      </c>
      <c r="S14" s="39" t="n">
        <f aca="false">Inputs!$D$41</f>
        <v>1</v>
      </c>
      <c r="T14" s="39" t="n">
        <f aca="false">Inputs!$E$41</f>
        <v>1</v>
      </c>
      <c r="U14" s="39" t="n">
        <f aca="false">Inputs!$F$41</f>
        <v>0</v>
      </c>
      <c r="V14" s="40"/>
    </row>
    <row r="15" customFormat="false" ht="15" hidden="false" customHeight="false" outlineLevel="0" collapsed="false">
      <c r="B15" s="6" t="s">
        <v>324</v>
      </c>
      <c r="C15" s="24" t="n">
        <f aca="false">MAX(0,C13-C9)*C14</f>
        <v>0.0350526766375133</v>
      </c>
      <c r="D15" s="24" t="n">
        <f aca="false">MAX(0,D13-D9)*D14</f>
        <v>0.036713605679123</v>
      </c>
      <c r="E15" s="24" t="n">
        <f aca="false">MAX(0,E13-E9)*E14</f>
        <v>0.0180805543507798</v>
      </c>
      <c r="F15" s="24" t="n">
        <f aca="false">MAX(0,F13-F9)*F14</f>
        <v>0</v>
      </c>
      <c r="G15" s="40"/>
      <c r="H15" s="24" t="n">
        <f aca="false">MAX(0,H13-H9)*H14</f>
        <v>0.0350526766375133</v>
      </c>
      <c r="I15" s="24" t="n">
        <f aca="false">MAX(0,I13-I9)*I14</f>
        <v>0.036713605679123</v>
      </c>
      <c r="J15" s="24" t="n">
        <f aca="false">MAX(0,J13-J9)*J14</f>
        <v>0.0180805543507798</v>
      </c>
      <c r="K15" s="24" t="n">
        <f aca="false">MAX(0,K13-K9)*K14</f>
        <v>0</v>
      </c>
      <c r="L15" s="40"/>
      <c r="M15" s="24" t="n">
        <f aca="false">MAX(0,M13-M9)*M14</f>
        <v>0.0350526766375133</v>
      </c>
      <c r="N15" s="24" t="n">
        <f aca="false">MAX(0,N13-N9)*N14</f>
        <v>0.036713605679123</v>
      </c>
      <c r="O15" s="24" t="n">
        <f aca="false">MAX(0,O13-O9)*O14</f>
        <v>0.0180805543507798</v>
      </c>
      <c r="P15" s="24" t="n">
        <f aca="false">MAX(0,P13-P9)*P14</f>
        <v>0</v>
      </c>
      <c r="Q15" s="40"/>
      <c r="R15" s="24" t="n">
        <f aca="false">MAX(0,R13-R9)*R14</f>
        <v>0.024492299304893</v>
      </c>
      <c r="S15" s="24" t="n">
        <f aca="false">MAX(0,S13-S9)*S14</f>
        <v>0.0501018710256129</v>
      </c>
      <c r="T15" s="24" t="n">
        <f aca="false">MAX(0,T13-T9)*T14</f>
        <v>0.0251112254057405</v>
      </c>
      <c r="U15" s="24" t="n">
        <f aca="false">MAX(0,U13-U9)*U14</f>
        <v>0</v>
      </c>
      <c r="V15" s="40"/>
    </row>
    <row r="16" customFormat="false" ht="15" hidden="false" customHeight="false" outlineLevel="0" collapsed="false">
      <c r="B16" s="6" t="s">
        <v>325</v>
      </c>
      <c r="C16" s="31" t="n">
        <f aca="false">Inputs!$C$53</f>
        <v>0.25</v>
      </c>
      <c r="D16" s="31" t="n">
        <f aca="false">Inputs!$C$53</f>
        <v>0.25</v>
      </c>
      <c r="E16" s="31" t="n">
        <f aca="false">Inputs!$C$53</f>
        <v>0.25</v>
      </c>
      <c r="F16" s="31" t="n">
        <f aca="false">Inputs!$C$53</f>
        <v>0.25</v>
      </c>
      <c r="G16" s="40"/>
      <c r="H16" s="31" t="n">
        <f aca="false">Inputs!$D$53</f>
        <v>0.5</v>
      </c>
      <c r="I16" s="31" t="n">
        <f aca="false">Inputs!$D$53</f>
        <v>0.5</v>
      </c>
      <c r="J16" s="31" t="n">
        <f aca="false">Inputs!$D$53</f>
        <v>0.5</v>
      </c>
      <c r="K16" s="31" t="n">
        <f aca="false">Inputs!$D$53</f>
        <v>0.5</v>
      </c>
      <c r="L16" s="40"/>
      <c r="M16" s="31" t="n">
        <f aca="false">Inputs!$E$53</f>
        <v>1</v>
      </c>
      <c r="N16" s="31" t="n">
        <f aca="false">Inputs!$E$53</f>
        <v>1</v>
      </c>
      <c r="O16" s="31" t="n">
        <f aca="false">Inputs!$E$53</f>
        <v>1</v>
      </c>
      <c r="P16" s="31" t="n">
        <f aca="false">Inputs!$E$53</f>
        <v>1</v>
      </c>
      <c r="Q16" s="40"/>
      <c r="R16" s="31" t="n">
        <f aca="false">Inputs!$F$53</f>
        <v>0.5</v>
      </c>
      <c r="S16" s="31" t="n">
        <f aca="false">Inputs!$F$53</f>
        <v>0.5</v>
      </c>
      <c r="T16" s="31" t="n">
        <f aca="false">Inputs!$F$53</f>
        <v>0.5</v>
      </c>
      <c r="U16" s="31" t="n">
        <f aca="false">Inputs!$F$53</f>
        <v>0.5</v>
      </c>
      <c r="V16" s="40"/>
    </row>
    <row r="17" customFormat="false" ht="15" hidden="false" customHeight="false" outlineLevel="0" collapsed="false">
      <c r="B17" s="6" t="s">
        <v>326</v>
      </c>
      <c r="C17" s="24" t="n">
        <f aca="false">C9+C15*C16</f>
        <v>0.369217284580381</v>
      </c>
      <c r="D17" s="24" t="n">
        <f aca="false">D9+D15*D16</f>
        <v>0.361992254233634</v>
      </c>
      <c r="E17" s="24" t="n">
        <f aca="false">E9+E15*E16</f>
        <v>0.261232338305076</v>
      </c>
      <c r="F17" s="24" t="n">
        <f aca="false">F9+F15*F16</f>
        <v>0.190291262135922</v>
      </c>
      <c r="G17" s="43" t="n">
        <f aca="false">G18/G8</f>
        <v>0.287366530373007</v>
      </c>
      <c r="H17" s="24" t="n">
        <f aca="false">H9+H15*H16</f>
        <v>0.37798045373976</v>
      </c>
      <c r="I17" s="24" t="n">
        <f aca="false">I9+I15*I16</f>
        <v>0.371170655653414</v>
      </c>
      <c r="J17" s="24" t="n">
        <f aca="false">J9+J15*J16</f>
        <v>0.265752476892771</v>
      </c>
      <c r="K17" s="24" t="n">
        <f aca="false">K9+K15*K16</f>
        <v>0.190291262135922</v>
      </c>
      <c r="L17" s="43" t="n">
        <f aca="false">L18/L8</f>
        <v>0.292691767407486</v>
      </c>
      <c r="M17" s="24" t="n">
        <f aca="false">M9+M15*M16</f>
        <v>0.395506792058516</v>
      </c>
      <c r="N17" s="24" t="n">
        <f aca="false">N9+N15*N16</f>
        <v>0.389527458492976</v>
      </c>
      <c r="O17" s="24" t="n">
        <f aca="false">O9+O15*O16</f>
        <v>0.274792754068161</v>
      </c>
      <c r="P17" s="24" t="n">
        <f aca="false">P9+P15*P16</f>
        <v>0.190291262135922</v>
      </c>
      <c r="Q17" s="43" t="n">
        <f aca="false">Q18/Q8</f>
        <v>0.303342241476445</v>
      </c>
      <c r="R17" s="24" t="n">
        <f aca="false">R9+R15*R16</f>
        <v>0.38326064240607</v>
      </c>
      <c r="S17" s="24" t="n">
        <f aca="false">S9+S15*S16</f>
        <v>0.364476522980169</v>
      </c>
      <c r="T17" s="24" t="n">
        <f aca="false">T9+T15*T16</f>
        <v>0.262237141365291</v>
      </c>
      <c r="U17" s="24" t="n">
        <f aca="false">U9+U15*U16</f>
        <v>0.208955223880597</v>
      </c>
      <c r="V17" s="43" t="n">
        <f aca="false">V18/V8</f>
        <v>0.293303178017364</v>
      </c>
    </row>
    <row r="18" customFormat="false" ht="15" hidden="false" customHeight="false" outlineLevel="0" collapsed="false">
      <c r="B18" s="6" t="s">
        <v>291</v>
      </c>
      <c r="C18" s="25" t="n">
        <f aca="false">C8*C17</f>
        <v>110.574423110414</v>
      </c>
      <c r="D18" s="25" t="n">
        <f aca="false">D8*D17</f>
        <v>94.7695721583653</v>
      </c>
      <c r="E18" s="25" t="n">
        <f aca="false">E8*E17</f>
        <v>157.135605362808</v>
      </c>
      <c r="F18" s="25" t="n">
        <f aca="false">F8*F17</f>
        <v>55.5333333333333</v>
      </c>
      <c r="G18" s="42" t="n">
        <f aca="false">SUM(C18:F18)</f>
        <v>418.012933964921</v>
      </c>
      <c r="H18" s="25" t="n">
        <f aca="false">H8*H17</f>
        <v>133.175113200975</v>
      </c>
      <c r="I18" s="25" t="n">
        <f aca="false">I8*I17</f>
        <v>114.320561941252</v>
      </c>
      <c r="J18" s="25" t="n">
        <f aca="false">J8*J17</f>
        <v>188.064169481118</v>
      </c>
      <c r="K18" s="25" t="n">
        <f aca="false">K8*K17</f>
        <v>65.3333333333333</v>
      </c>
      <c r="L18" s="42" t="n">
        <f aca="false">SUM(H18:K18)</f>
        <v>500.893177956678</v>
      </c>
      <c r="M18" s="25" t="n">
        <f aca="false">M8*M17</f>
        <v>139.350226401951</v>
      </c>
      <c r="N18" s="25" t="n">
        <f aca="false">N8*N17</f>
        <v>119.974457215837</v>
      </c>
      <c r="O18" s="25" t="n">
        <f aca="false">O8*O17</f>
        <v>194.461672295568</v>
      </c>
      <c r="P18" s="25" t="n">
        <f aca="false">P8*P17</f>
        <v>65.3333333333333</v>
      </c>
      <c r="Q18" s="42" t="n">
        <f aca="false">SUM(M18:P18)</f>
        <v>519.119689246689</v>
      </c>
      <c r="R18" s="25" t="n">
        <f aca="false">R8*R17</f>
        <v>132.224921630094</v>
      </c>
      <c r="S18" s="25" t="n">
        <f aca="false">S8*S17</f>
        <v>139.594508301405</v>
      </c>
      <c r="T18" s="25" t="n">
        <f aca="false">T8*T17</f>
        <v>205.856155971753</v>
      </c>
      <c r="U18" s="25" t="n">
        <f aca="false">U8*U17</f>
        <v>84</v>
      </c>
      <c r="V18" s="42" t="n">
        <f aca="false">SUM(R18:U18)</f>
        <v>561.675585903252</v>
      </c>
    </row>
    <row r="19" customFormat="false" ht="15" hidden="false" customHeight="false" outlineLevel="0" collapsed="false">
      <c r="B19" s="6" t="s">
        <v>327</v>
      </c>
      <c r="C19" s="25" t="n">
        <f aca="false">C18*C10</f>
        <v>87.937139638991</v>
      </c>
      <c r="D19" s="25" t="n">
        <f aca="false">D18*D10</f>
        <v>75.2923901503577</v>
      </c>
      <c r="E19" s="25" t="n">
        <f aca="false">E18*E10</f>
        <v>108.985796013104</v>
      </c>
      <c r="F19" s="25" t="n">
        <f aca="false">F18*F10</f>
        <v>36.55</v>
      </c>
      <c r="G19" s="42" t="n">
        <f aca="false">SUM(C19:F19)</f>
        <v>308.765325802453</v>
      </c>
      <c r="H19" s="25" t="n">
        <f aca="false">H18*H10</f>
        <v>105.910916797626</v>
      </c>
      <c r="I19" s="25" t="n">
        <f aca="false">I18*I10</f>
        <v>90.8252317263318</v>
      </c>
      <c r="J19" s="25" t="n">
        <f aca="false">J18*J10</f>
        <v>130.437167089656</v>
      </c>
      <c r="K19" s="25" t="n">
        <f aca="false">K18*K10</f>
        <v>43</v>
      </c>
      <c r="L19" s="42" t="n">
        <f aca="false">SUM(H19:K19)</f>
        <v>370.173315613614</v>
      </c>
      <c r="M19" s="25" t="n">
        <f aca="false">M18*M10</f>
        <v>110.821833595252</v>
      </c>
      <c r="N19" s="25" t="n">
        <f aca="false">N18*N10</f>
        <v>95.3171301193302</v>
      </c>
      <c r="O19" s="25" t="n">
        <f aca="false">O18*O10</f>
        <v>134.874334179312</v>
      </c>
      <c r="P19" s="25" t="n">
        <f aca="false">P18*P10</f>
        <v>43</v>
      </c>
      <c r="Q19" s="42" t="n">
        <f aca="false">SUM(M19:P19)</f>
        <v>384.013297893894</v>
      </c>
      <c r="R19" s="25" t="n">
        <f aca="false">R18*R10</f>
        <v>107.432748824451</v>
      </c>
      <c r="S19" s="25" t="n">
        <f aca="false">S18*S10</f>
        <v>114.897018371156</v>
      </c>
      <c r="T19" s="25" t="n">
        <f aca="false">T18*T10</f>
        <v>145.989824898335</v>
      </c>
      <c r="U19" s="25" t="n">
        <f aca="false">U18*U10</f>
        <v>54</v>
      </c>
      <c r="V19" s="42" t="n">
        <f aca="false">SUM(R19:U19)</f>
        <v>422.319592093943</v>
      </c>
    </row>
    <row r="20" customFormat="false" ht="15" hidden="false" customHeight="false" outlineLevel="0" collapsed="false">
      <c r="B20" s="6" t="s">
        <v>328</v>
      </c>
      <c r="C20" s="39" t="n">
        <f aca="false">Inputs!$C$42</f>
        <v>0</v>
      </c>
      <c r="D20" s="39" t="n">
        <f aca="false">Inputs!$D$42</f>
        <v>0</v>
      </c>
      <c r="E20" s="39" t="n">
        <f aca="false">Inputs!$E$42</f>
        <v>0</v>
      </c>
      <c r="F20" s="39" t="n">
        <f aca="false">Inputs!$F$42</f>
        <v>1</v>
      </c>
      <c r="G20" s="40"/>
      <c r="H20" s="39" t="n">
        <f aca="false">Inputs!$C$42</f>
        <v>0</v>
      </c>
      <c r="I20" s="39" t="n">
        <f aca="false">Inputs!$D$42</f>
        <v>0</v>
      </c>
      <c r="J20" s="39" t="n">
        <f aca="false">Inputs!$E$42</f>
        <v>0</v>
      </c>
      <c r="K20" s="39" t="n">
        <f aca="false">Inputs!$F$42</f>
        <v>1</v>
      </c>
      <c r="L20" s="40"/>
      <c r="M20" s="39" t="n">
        <f aca="false">Inputs!$C$42</f>
        <v>0</v>
      </c>
      <c r="N20" s="39" t="n">
        <f aca="false">Inputs!$D$42</f>
        <v>0</v>
      </c>
      <c r="O20" s="39" t="n">
        <f aca="false">Inputs!$E$42</f>
        <v>0</v>
      </c>
      <c r="P20" s="39" t="n">
        <f aca="false">Inputs!$F$42</f>
        <v>1</v>
      </c>
      <c r="Q20" s="40"/>
      <c r="R20" s="39" t="n">
        <f aca="false">Inputs!$C$42</f>
        <v>0</v>
      </c>
      <c r="S20" s="39" t="n">
        <f aca="false">Inputs!$D$42</f>
        <v>0</v>
      </c>
      <c r="T20" s="39" t="n">
        <f aca="false">Inputs!$E$42</f>
        <v>0</v>
      </c>
      <c r="U20" s="39" t="n">
        <f aca="false">Inputs!$F$42</f>
        <v>1</v>
      </c>
      <c r="V20" s="40"/>
    </row>
    <row r="21" customFormat="false" ht="15" hidden="false" customHeight="false" outlineLevel="0" collapsed="false">
      <c r="B21" s="6" t="s">
        <v>329</v>
      </c>
      <c r="C21" s="24" t="n">
        <f aca="false">Inputs!$C$54*Inputs!$C$45*C20</f>
        <v>0</v>
      </c>
      <c r="D21" s="24" t="n">
        <f aca="false">Inputs!$C$54*Inputs!$C$45*D20</f>
        <v>0</v>
      </c>
      <c r="E21" s="24" t="n">
        <f aca="false">Inputs!$C$54*Inputs!$C$45*E20</f>
        <v>0</v>
      </c>
      <c r="F21" s="24" t="n">
        <f aca="false">Inputs!$C$54*Inputs!$C$45*F20</f>
        <v>0</v>
      </c>
      <c r="G21" s="40"/>
      <c r="H21" s="24" t="n">
        <f aca="false">Inputs!$D$54*Inputs!$C$45*H20</f>
        <v>0</v>
      </c>
      <c r="I21" s="24" t="n">
        <f aca="false">Inputs!$D$54*Inputs!$C$45*I20</f>
        <v>0</v>
      </c>
      <c r="J21" s="24" t="n">
        <f aca="false">Inputs!$D$54*Inputs!$C$45*J20</f>
        <v>0</v>
      </c>
      <c r="K21" s="24" t="n">
        <f aca="false">Inputs!$D$54*Inputs!$C$45*K20</f>
        <v>0.009</v>
      </c>
      <c r="L21" s="40"/>
      <c r="M21" s="24" t="n">
        <f aca="false">Inputs!$E$54*Inputs!$C$45*M20</f>
        <v>0</v>
      </c>
      <c r="N21" s="24" t="n">
        <f aca="false">Inputs!$E$54*Inputs!$C$45*N20</f>
        <v>0</v>
      </c>
      <c r="O21" s="24" t="n">
        <f aca="false">Inputs!$E$54*Inputs!$C$45*O20</f>
        <v>0</v>
      </c>
      <c r="P21" s="24" t="n">
        <f aca="false">Inputs!$E$54*Inputs!$C$45*P20</f>
        <v>0.018</v>
      </c>
      <c r="Q21" s="40"/>
      <c r="R21" s="24" t="n">
        <f aca="false">Inputs!$F$54*Inputs!$C$45*R20</f>
        <v>0</v>
      </c>
      <c r="S21" s="24" t="n">
        <f aca="false">Inputs!$F$54*Inputs!$C$45*S20</f>
        <v>0</v>
      </c>
      <c r="T21" s="24" t="n">
        <f aca="false">Inputs!$F$54*Inputs!$C$45*T20</f>
        <v>0</v>
      </c>
      <c r="U21" s="24" t="n">
        <f aca="false">Inputs!$F$54*Inputs!$C$45*U20</f>
        <v>0.009</v>
      </c>
      <c r="V21" s="40"/>
    </row>
    <row r="22" customFormat="false" ht="15" hidden="false" customHeight="false" outlineLevel="0" collapsed="false">
      <c r="B22" s="6" t="s">
        <v>330</v>
      </c>
      <c r="C22" s="24" t="n">
        <f aca="false">C11+C21</f>
        <v>0.33993399339934</v>
      </c>
      <c r="D22" s="24" t="n">
        <f aca="false">D11+D21</f>
        <v>0.33976833976834</v>
      </c>
      <c r="E22" s="24" t="n">
        <f aca="false">E11+E21</f>
        <v>0.259259259259259</v>
      </c>
      <c r="F22" s="24" t="n">
        <f aca="false">F11+F21</f>
        <v>0.193798449612403</v>
      </c>
      <c r="G22" s="43" t="n">
        <f aca="false">G23/G19</f>
        <v>0.294118853163417</v>
      </c>
      <c r="H22" s="24" t="n">
        <f aca="false">H11+H21</f>
        <v>0.33993399339934</v>
      </c>
      <c r="I22" s="24" t="n">
        <f aca="false">I11+I21</f>
        <v>0.33976833976834</v>
      </c>
      <c r="J22" s="24" t="n">
        <f aca="false">J11+J21</f>
        <v>0.259259259259259</v>
      </c>
      <c r="K22" s="24" t="n">
        <f aca="false">K11+K21</f>
        <v>0.202798449612403</v>
      </c>
      <c r="L22" s="43" t="n">
        <f aca="false">L23/L19</f>
        <v>0.295536255918019</v>
      </c>
      <c r="M22" s="24" t="n">
        <f aca="false">M11+M21</f>
        <v>0.33993399339934</v>
      </c>
      <c r="N22" s="24" t="n">
        <f aca="false">N11+N21</f>
        <v>0.33976833976834</v>
      </c>
      <c r="O22" s="24" t="n">
        <f aca="false">O11+O21</f>
        <v>0.259259259259259</v>
      </c>
      <c r="P22" s="24" t="n">
        <f aca="false">P11+P21</f>
        <v>0.211798449612403</v>
      </c>
      <c r="Q22" s="43" t="n">
        <f aca="false">Q23/Q19</f>
        <v>0.297210032656947</v>
      </c>
      <c r="R22" s="24" t="n">
        <f aca="false">R11+R21</f>
        <v>0.365384615384615</v>
      </c>
      <c r="S22" s="24" t="n">
        <f aca="false">S11+S21</f>
        <v>0.336448598130841</v>
      </c>
      <c r="T22" s="24" t="n">
        <f aca="false">T11+T21</f>
        <v>0.251798561151079</v>
      </c>
      <c r="U22" s="24" t="n">
        <f aca="false">U11+U21</f>
        <v>0.212703703703704</v>
      </c>
      <c r="V22" s="43" t="n">
        <f aca="false">V23/V19</f>
        <v>0.298724578691483</v>
      </c>
    </row>
    <row r="23" customFormat="false" ht="15" hidden="false" customHeight="false" outlineLevel="0" collapsed="false">
      <c r="B23" s="6" t="s">
        <v>293</v>
      </c>
      <c r="C23" s="25" t="n">
        <f aca="false">C19*C22</f>
        <v>29.8928230455976</v>
      </c>
      <c r="D23" s="25" t="n">
        <f aca="false">D19*D22</f>
        <v>25.5819703985771</v>
      </c>
      <c r="E23" s="25" t="n">
        <f aca="false">E19*E22</f>
        <v>28.255576744138</v>
      </c>
      <c r="F23" s="25" t="n">
        <f aca="false">F19*F22</f>
        <v>7.08333333333333</v>
      </c>
      <c r="G23" s="42" t="n">
        <f aca="false">SUM(C23:F23)</f>
        <v>90.8137035216461</v>
      </c>
      <c r="H23" s="25" t="n">
        <f aca="false">H19*H22</f>
        <v>36.0027208916022</v>
      </c>
      <c r="I23" s="25" t="n">
        <f aca="false">I19*I22</f>
        <v>30.8595381927305</v>
      </c>
      <c r="J23" s="25" t="n">
        <f aca="false">J19*J22</f>
        <v>33.8170433195404</v>
      </c>
      <c r="K23" s="25" t="n">
        <f aca="false">K19*K22</f>
        <v>8.72033333333333</v>
      </c>
      <c r="L23" s="42" t="n">
        <f aca="false">SUM(H23:K23)</f>
        <v>109.399635737206</v>
      </c>
      <c r="M23" s="25" t="n">
        <f aca="false">M19*M22</f>
        <v>37.6721084498711</v>
      </c>
      <c r="N23" s="25" t="n">
        <f aca="false">N19*N22</f>
        <v>32.3857430521277</v>
      </c>
      <c r="O23" s="25" t="n">
        <f aca="false">O19*O22</f>
        <v>34.9674199724142</v>
      </c>
      <c r="P23" s="25" t="n">
        <f aca="false">P19*P22</f>
        <v>9.10733333333333</v>
      </c>
      <c r="Q23" s="42" t="n">
        <f aca="false">SUM(M23:P23)</f>
        <v>114.132604807746</v>
      </c>
      <c r="R23" s="25" t="n">
        <f aca="false">R19*R22</f>
        <v>39.2542736089342</v>
      </c>
      <c r="S23" s="25" t="n">
        <f aca="false">S19*S22</f>
        <v>38.656940760389</v>
      </c>
      <c r="T23" s="25" t="n">
        <f aca="false">T19*T22</f>
        <v>36.7600278520988</v>
      </c>
      <c r="U23" s="25" t="n">
        <f aca="false">U19*U22</f>
        <v>11.486</v>
      </c>
      <c r="V23" s="42" t="n">
        <f aca="false">SUM(R23:U23)</f>
        <v>126.157242221422</v>
      </c>
    </row>
    <row r="24" customFormat="false" ht="15" hidden="false" customHeight="false" outlineLevel="0" collapsed="false">
      <c r="B24" s="6" t="s">
        <v>331</v>
      </c>
      <c r="C24" s="23" t="n">
        <f aca="false">C23*C12</f>
        <v>113203.540430512</v>
      </c>
      <c r="D24" s="23" t="n">
        <f aca="false">D23*D12</f>
        <v>243001.973999248</v>
      </c>
      <c r="E24" s="23" t="n">
        <f aca="false">E23*E12</f>
        <v>367241.479132314</v>
      </c>
      <c r="F24" s="23" t="n">
        <f aca="false">F23*F12</f>
        <v>163934.116666667</v>
      </c>
      <c r="G24" s="44" t="n">
        <f aca="false">SUM(C24:F24)</f>
        <v>887381.11022874</v>
      </c>
      <c r="H24" s="23" t="n">
        <f aca="false">H23*H12</f>
        <v>136341.604934539</v>
      </c>
      <c r="I24" s="23" t="n">
        <f aca="false">I23*I12</f>
        <v>293133.350586466</v>
      </c>
      <c r="J24" s="23" t="n">
        <f aca="false">J23*J12</f>
        <v>439524.597958385</v>
      </c>
      <c r="K24" s="23" t="n">
        <f aca="false">K23*K12</f>
        <v>201820.255346667</v>
      </c>
      <c r="L24" s="44" t="n">
        <f aca="false">SUM(H24:K24)</f>
        <v>1070819.80882606</v>
      </c>
      <c r="M24" s="23" t="n">
        <f aca="false">M23*M12</f>
        <v>142663.543202411</v>
      </c>
      <c r="N24" s="23" t="n">
        <f aca="false">N23*N12</f>
        <v>307630.701172931</v>
      </c>
      <c r="O24" s="23" t="n">
        <f aca="false">O23*O12</f>
        <v>454476.195916769</v>
      </c>
      <c r="P24" s="23" t="n">
        <f aca="false">P23*P12</f>
        <v>210776.844026667</v>
      </c>
      <c r="Q24" s="44" t="n">
        <f aca="false">SUM(M24:P24)</f>
        <v>1115547.28431878</v>
      </c>
      <c r="R24" s="23" t="n">
        <f aca="false">R23*R12</f>
        <v>145447.413793103</v>
      </c>
      <c r="S24" s="23" t="n">
        <f aca="false">S23*S12</f>
        <v>379283.648074467</v>
      </c>
      <c r="T24" s="23" t="n">
        <f aca="false">T23*T12</f>
        <v>530673.013505448</v>
      </c>
      <c r="U24" s="23" t="n">
        <f aca="false">U23*U12</f>
        <v>297337.037818182</v>
      </c>
      <c r="V24" s="44" t="n">
        <f aca="false">SUM(R24:U24)</f>
        <v>1352741.1131912</v>
      </c>
    </row>
    <row r="25" customFormat="false" ht="15" hidden="false" customHeight="false" outlineLevel="0" collapsed="false">
      <c r="A25" s="8" t="s">
        <v>332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</row>
    <row r="26" customFormat="false" ht="15" hidden="false" customHeight="false" outlineLevel="0" collapsed="false">
      <c r="B26" s="6" t="s">
        <v>333</v>
      </c>
      <c r="C26" s="39" t="n">
        <f aca="false">Inputs!$C$55</f>
        <v>1</v>
      </c>
      <c r="D26" s="39" t="n">
        <f aca="false">Inputs!$C$55</f>
        <v>1</v>
      </c>
      <c r="E26" s="39" t="n">
        <f aca="false">Inputs!$C$55</f>
        <v>1</v>
      </c>
      <c r="F26" s="39" t="n">
        <f aca="false">Inputs!$C$55</f>
        <v>1</v>
      </c>
      <c r="G26" s="40"/>
      <c r="H26" s="39" t="n">
        <f aca="false">Inputs!$D$55</f>
        <v>0</v>
      </c>
      <c r="I26" s="39" t="n">
        <f aca="false">Inputs!$D$55</f>
        <v>0</v>
      </c>
      <c r="J26" s="39" t="n">
        <f aca="false">Inputs!$D$55</f>
        <v>0</v>
      </c>
      <c r="K26" s="39" t="n">
        <f aca="false">Inputs!$D$55</f>
        <v>0</v>
      </c>
      <c r="L26" s="40"/>
      <c r="M26" s="39" t="n">
        <f aca="false">Inputs!$E$55</f>
        <v>0</v>
      </c>
      <c r="N26" s="39" t="n">
        <f aca="false">Inputs!$E$55</f>
        <v>0</v>
      </c>
      <c r="O26" s="39" t="n">
        <f aca="false">Inputs!$E$55</f>
        <v>0</v>
      </c>
      <c r="P26" s="39" t="n">
        <f aca="false">Inputs!$E$55</f>
        <v>0</v>
      </c>
      <c r="Q26" s="40"/>
      <c r="R26" s="39" t="n">
        <f aca="false">Inputs!$F$55</f>
        <v>0</v>
      </c>
      <c r="S26" s="39" t="n">
        <f aca="false">Inputs!$F$55</f>
        <v>0</v>
      </c>
      <c r="T26" s="39" t="n">
        <f aca="false">Inputs!$F$55</f>
        <v>0</v>
      </c>
      <c r="U26" s="39" t="n">
        <f aca="false">Inputs!$F$55</f>
        <v>0</v>
      </c>
      <c r="V26" s="40"/>
    </row>
    <row r="27" customFormat="false" ht="15" hidden="false" customHeight="false" outlineLevel="0" collapsed="false">
      <c r="B27" s="6" t="s">
        <v>334</v>
      </c>
      <c r="C27" s="29" t="n">
        <f aca="false">Inputs!$C$18-C26*Inputs!$C$28*(1-Demand!$G$40)</f>
        <v>10.7849527511657</v>
      </c>
      <c r="D27" s="29" t="n">
        <f aca="false">Inputs!$C$18-D26*Inputs!$C$28*(1-Demand!$G$40)</f>
        <v>10.7849527511657</v>
      </c>
      <c r="E27" s="29" t="n">
        <f aca="false">Inputs!$C$18-E26*Inputs!$C$28*(1-Demand!$G$40)</f>
        <v>10.7849527511657</v>
      </c>
      <c r="F27" s="29" t="n">
        <f aca="false">Inputs!$C$18-F26*Inputs!$C$28*(1-Demand!$G$40)</f>
        <v>10.7849527511657</v>
      </c>
      <c r="G27" s="40"/>
      <c r="H27" s="29" t="n">
        <f aca="false">Inputs!$C$18-H26*Inputs!$C$28*(1-Demand!$G$40)</f>
        <v>12</v>
      </c>
      <c r="I27" s="29" t="n">
        <f aca="false">Inputs!$C$18-I26*Inputs!$C$28*(1-Demand!$G$40)</f>
        <v>12</v>
      </c>
      <c r="J27" s="29" t="n">
        <f aca="false">Inputs!$C$18-J26*Inputs!$C$28*(1-Demand!$G$40)</f>
        <v>12</v>
      </c>
      <c r="K27" s="29" t="n">
        <f aca="false">Inputs!$C$18-K26*Inputs!$C$28*(1-Demand!$G$40)</f>
        <v>12</v>
      </c>
      <c r="L27" s="40"/>
      <c r="M27" s="29" t="n">
        <f aca="false">Inputs!$C$18-M26*Inputs!$C$28*(1-Demand!$G$40)</f>
        <v>12</v>
      </c>
      <c r="N27" s="29" t="n">
        <f aca="false">Inputs!$C$18-N26*Inputs!$C$28*(1-Demand!$G$40)</f>
        <v>12</v>
      </c>
      <c r="O27" s="29" t="n">
        <f aca="false">Inputs!$C$18-O26*Inputs!$C$28*(1-Demand!$G$40)</f>
        <v>12</v>
      </c>
      <c r="P27" s="29" t="n">
        <f aca="false">Inputs!$C$18-P26*Inputs!$C$28*(1-Demand!$G$40)</f>
        <v>12</v>
      </c>
      <c r="Q27" s="40"/>
      <c r="R27" s="29" t="n">
        <f aca="false">Inputs!$C$18-R26*Inputs!$C$28*(1-Demand!$G$40)</f>
        <v>12</v>
      </c>
      <c r="S27" s="29" t="n">
        <f aca="false">Inputs!$C$18-S26*Inputs!$C$28*(1-Demand!$G$40)</f>
        <v>12</v>
      </c>
      <c r="T27" s="29" t="n">
        <f aca="false">Inputs!$C$18-T26*Inputs!$C$28*(1-Demand!$G$40)</f>
        <v>12</v>
      </c>
      <c r="U27" s="29" t="n">
        <f aca="false">Inputs!$C$18-U26*Inputs!$C$28*(1-Demand!$G$40)</f>
        <v>12</v>
      </c>
      <c r="V27" s="40"/>
    </row>
    <row r="28" customFormat="false" ht="15" hidden="false" customHeight="false" outlineLevel="0" collapsed="false">
      <c r="B28" s="6" t="s">
        <v>335</v>
      </c>
      <c r="C28" s="23" t="n">
        <f aca="false">C24*C27</f>
        <v>1220894.83480775</v>
      </c>
      <c r="D28" s="23" t="n">
        <f aca="false">D24*D27</f>
        <v>2620764.80802188</v>
      </c>
      <c r="E28" s="23" t="n">
        <f aca="false">E24*E27</f>
        <v>3960682.00071019</v>
      </c>
      <c r="F28" s="23" t="n">
        <f aca="false">F24*F27</f>
        <v>1768021.70255408</v>
      </c>
      <c r="G28" s="44" t="n">
        <f aca="false">SUM(C28:F28)</f>
        <v>9570363.3460939</v>
      </c>
      <c r="H28" s="23" t="n">
        <f aca="false">H24*H27</f>
        <v>1636099.25921446</v>
      </c>
      <c r="I28" s="23" t="n">
        <f aca="false">I24*I27</f>
        <v>3517600.20703759</v>
      </c>
      <c r="J28" s="23" t="n">
        <f aca="false">J24*J27</f>
        <v>5274295.17550062</v>
      </c>
      <c r="K28" s="23" t="n">
        <f aca="false">K24*K27</f>
        <v>2421843.06416</v>
      </c>
      <c r="L28" s="44" t="n">
        <f aca="false">SUM(H28:K28)</f>
        <v>12849837.7059127</v>
      </c>
      <c r="M28" s="23" t="n">
        <f aca="false">M24*M27</f>
        <v>1711962.51842893</v>
      </c>
      <c r="N28" s="23" t="n">
        <f aca="false">N24*N27</f>
        <v>3691568.41407517</v>
      </c>
      <c r="O28" s="23" t="n">
        <f aca="false">O24*O27</f>
        <v>5453714.35100123</v>
      </c>
      <c r="P28" s="23" t="n">
        <f aca="false">P24*P27</f>
        <v>2529322.12832</v>
      </c>
      <c r="Q28" s="44" t="n">
        <f aca="false">SUM(M28:P28)</f>
        <v>13386567.4118253</v>
      </c>
      <c r="R28" s="23" t="n">
        <f aca="false">R24*R27</f>
        <v>1745368.96551724</v>
      </c>
      <c r="S28" s="23" t="n">
        <f aca="false">S24*S27</f>
        <v>4551403.7768936</v>
      </c>
      <c r="T28" s="23" t="n">
        <f aca="false">T24*T27</f>
        <v>6368076.16206538</v>
      </c>
      <c r="U28" s="23" t="n">
        <f aca="false">U24*U27</f>
        <v>3568044.45381818</v>
      </c>
      <c r="V28" s="44" t="n">
        <f aca="false">SUM(R28:U28)</f>
        <v>16232893.3582944</v>
      </c>
    </row>
    <row r="29" customFormat="false" ht="15" hidden="false" customHeight="false" outlineLevel="0" collapsed="false">
      <c r="B29" s="6" t="s">
        <v>336</v>
      </c>
      <c r="C29" s="23" t="n">
        <f aca="false">C8*C9*C10*C11*C12*C27</f>
        <v>1191917.56746396</v>
      </c>
      <c r="D29" s="23" t="n">
        <f aca="false">D8*D9*D10*D11*D12*D27</f>
        <v>2554314.68055773</v>
      </c>
      <c r="E29" s="23" t="n">
        <f aca="false">E8*E9*E10*E11*E12*E27</f>
        <v>3892149.78275756</v>
      </c>
      <c r="F29" s="23" t="n">
        <f aca="false">F8*F9*F10*F11*F12*F27</f>
        <v>1768021.70255408</v>
      </c>
      <c r="G29" s="44" t="n">
        <f aca="false">SUM(C29:F29)</f>
        <v>9406403.73333333</v>
      </c>
      <c r="H29" s="23" t="n">
        <f aca="false">H8*H9*H10*H11*H12*H27</f>
        <v>1560236</v>
      </c>
      <c r="I29" s="23" t="n">
        <f aca="false">I8*I9*I10*I11*I12*I27</f>
        <v>3343632</v>
      </c>
      <c r="J29" s="23" t="n">
        <f aca="false">J8*J9*J10*J11*J12*J27</f>
        <v>5094876</v>
      </c>
      <c r="K29" s="23" t="n">
        <f aca="false">K8*K9*K10*K11*K12*K27</f>
        <v>2314364</v>
      </c>
      <c r="L29" s="44" t="n">
        <f aca="false">SUM(H29:K29)</f>
        <v>12313108</v>
      </c>
      <c r="M29" s="23" t="n">
        <f aca="false">M8*M9*M10*M11*M12*M27</f>
        <v>1560236</v>
      </c>
      <c r="N29" s="23" t="n">
        <f aca="false">N8*N9*N10*N11*N12*N27</f>
        <v>3343632</v>
      </c>
      <c r="O29" s="23" t="n">
        <f aca="false">O8*O9*O10*O11*O12*O27</f>
        <v>5094876</v>
      </c>
      <c r="P29" s="23" t="n">
        <f aca="false">P8*P9*P10*P11*P12*P27</f>
        <v>2314364</v>
      </c>
      <c r="Q29" s="44" t="n">
        <f aca="false">SUM(M29:P29)</f>
        <v>12313108</v>
      </c>
      <c r="R29" s="23" t="n">
        <f aca="false">R8*R9*R10*R11*R12*R27</f>
        <v>1689600</v>
      </c>
      <c r="S29" s="23" t="n">
        <f aca="false">S8*S9*S10*S11*S12*S27</f>
        <v>4238580</v>
      </c>
      <c r="T29" s="23" t="n">
        <f aca="false">T8*T9*T10*T11*T12*T27</f>
        <v>6063180</v>
      </c>
      <c r="U29" s="23" t="n">
        <f aca="false">U8*U9*U10*U11*U12*U27</f>
        <v>3417072</v>
      </c>
      <c r="V29" s="44" t="n">
        <f aca="false">SUM(R29:U29)</f>
        <v>15408432</v>
      </c>
    </row>
    <row r="30" customFormat="false" ht="15" hidden="false" customHeight="false" outlineLevel="0" collapsed="false">
      <c r="B30" s="6" t="s">
        <v>337</v>
      </c>
      <c r="C30" s="23" t="n">
        <f aca="false">C8*(C17-C9)*C10*C11*C12*C27</f>
        <v>28977.2673437835</v>
      </c>
      <c r="D30" s="23" t="n">
        <f aca="false">D8*(D17-D9)*D10*D11*D12*D27</f>
        <v>66450.1274641487</v>
      </c>
      <c r="E30" s="23" t="n">
        <f aca="false">E8*(E17-E9)*E10*E11*E12*E27</f>
        <v>68532.2179526314</v>
      </c>
      <c r="F30" s="23" t="n">
        <f aca="false">F8*(F17-F9)*F10*F11*F12*F27</f>
        <v>0</v>
      </c>
      <c r="G30" s="44" t="n">
        <f aca="false">SUM(C30:F30)</f>
        <v>163959.612760564</v>
      </c>
      <c r="H30" s="23" t="n">
        <f aca="false">H8*(H17-H9)*H10*H11*H12*H27</f>
        <v>75863.2592144633</v>
      </c>
      <c r="I30" s="23" t="n">
        <f aca="false">I8*(I17-I9)*I10*I11*I12*I27</f>
        <v>173968.207037586</v>
      </c>
      <c r="J30" s="23" t="n">
        <f aca="false">J8*(J17-J9)*J10*J11*J12*J27</f>
        <v>179419.175500614</v>
      </c>
      <c r="K30" s="23" t="n">
        <f aca="false">K8*(K17-K9)*K10*K11*K12*K27</f>
        <v>0</v>
      </c>
      <c r="L30" s="44" t="n">
        <f aca="false">SUM(H30:K30)</f>
        <v>429250.641752663</v>
      </c>
      <c r="M30" s="23" t="n">
        <f aca="false">M8*(M17-M9)*M10*M11*M12*M27</f>
        <v>151726.518428927</v>
      </c>
      <c r="N30" s="23" t="n">
        <f aca="false">N8*(N17-N9)*N10*N11*N12*N27</f>
        <v>347936.414075171</v>
      </c>
      <c r="O30" s="23" t="n">
        <f aca="false">O8*(O17-O9)*O10*O11*O12*O27</f>
        <v>358838.35100123</v>
      </c>
      <c r="P30" s="23" t="n">
        <f aca="false">P8*(P17-P9)*P10*P11*P12*P27</f>
        <v>0</v>
      </c>
      <c r="Q30" s="44" t="n">
        <f aca="false">SUM(M30:P30)</f>
        <v>858501.283505328</v>
      </c>
      <c r="R30" s="23" t="n">
        <f aca="false">R8*(R17-R9)*R10*R11*R12*R27</f>
        <v>55768.9655172415</v>
      </c>
      <c r="S30" s="23" t="n">
        <f aca="false">S8*(S17-S9)*S10*S11*S12*S27</f>
        <v>312823.776893604</v>
      </c>
      <c r="T30" s="23" t="n">
        <f aca="false">T8*(T17-T9)*T10*T11*T12*T27</f>
        <v>304896.162065379</v>
      </c>
      <c r="U30" s="23" t="n">
        <f aca="false">U8*(U17-U9)*U10*U11*U12*U27</f>
        <v>0</v>
      </c>
      <c r="V30" s="44" t="n">
        <f aca="false">SUM(R30:U30)</f>
        <v>673488.904476225</v>
      </c>
    </row>
    <row r="31" customFormat="false" ht="15" hidden="false" customHeight="false" outlineLevel="0" collapsed="false">
      <c r="B31" s="6" t="s">
        <v>338</v>
      </c>
      <c r="C31" s="23" t="n">
        <f aca="false">C8*C17*C10*(C22-C11)*C12*C27</f>
        <v>0</v>
      </c>
      <c r="D31" s="23" t="n">
        <f aca="false">D8*D17*D10*(D22-D11)*D12*D27</f>
        <v>0</v>
      </c>
      <c r="E31" s="23" t="n">
        <f aca="false">E8*E17*E10*(E22-E11)*E12*E27</f>
        <v>0</v>
      </c>
      <c r="F31" s="23" t="n">
        <f aca="false">F8*F17*F10*(F22-F11)*F12*F27</f>
        <v>0</v>
      </c>
      <c r="G31" s="44" t="n">
        <f aca="false">SUM(C31:F31)</f>
        <v>0</v>
      </c>
      <c r="H31" s="23" t="n">
        <f aca="false">H8*H17*H10*(H22-H11)*H12*H27</f>
        <v>0</v>
      </c>
      <c r="I31" s="23" t="n">
        <f aca="false">I8*I17*I10*(I22-I11)*I12*I27</f>
        <v>0</v>
      </c>
      <c r="J31" s="23" t="n">
        <f aca="false">J8*J17*J10*(J22-J11)*J12*J27</f>
        <v>0</v>
      </c>
      <c r="K31" s="23" t="n">
        <f aca="false">K8*K17*K10*(K22-K11)*K12*K27</f>
        <v>107479.06416</v>
      </c>
      <c r="L31" s="44" t="n">
        <f aca="false">SUM(H31:K31)</f>
        <v>107479.06416</v>
      </c>
      <c r="M31" s="23" t="n">
        <f aca="false">M8*M17*M10*(M22-M11)*M12*M27</f>
        <v>0</v>
      </c>
      <c r="N31" s="23" t="n">
        <f aca="false">N8*N17*N10*(N22-N11)*N12*N27</f>
        <v>0</v>
      </c>
      <c r="O31" s="23" t="n">
        <f aca="false">O8*O17*O10*(O22-O11)*O12*O27</f>
        <v>0</v>
      </c>
      <c r="P31" s="23" t="n">
        <f aca="false">P8*P17*P10*(P22-P11)*P12*P27</f>
        <v>214958.12832</v>
      </c>
      <c r="Q31" s="44" t="n">
        <f aca="false">SUM(M31:P31)</f>
        <v>214958.12832</v>
      </c>
      <c r="R31" s="23" t="n">
        <f aca="false">R8*R17*R10*(R22-R11)*R12*R27</f>
        <v>0</v>
      </c>
      <c r="S31" s="23" t="n">
        <f aca="false">S8*S17*S10*(S22-S11)*S12*S27</f>
        <v>0</v>
      </c>
      <c r="T31" s="23" t="n">
        <f aca="false">T8*T17*T10*(T22-T11)*T12*T27</f>
        <v>0</v>
      </c>
      <c r="U31" s="23" t="n">
        <f aca="false">U8*U17*U10*(U22-U11)*U12*U27</f>
        <v>150972.453818182</v>
      </c>
      <c r="V31" s="44" t="n">
        <f aca="false">SUM(R31:U31)</f>
        <v>150972.453818182</v>
      </c>
    </row>
    <row r="32" customFormat="false" ht="15" hidden="false" customHeight="false" outlineLevel="0" collapsed="false">
      <c r="B32" s="6" t="s">
        <v>339</v>
      </c>
      <c r="C32" s="23" t="n">
        <f aca="false">ROUND(C29+C30+C31-C28,2)</f>
        <v>0</v>
      </c>
      <c r="D32" s="23" t="n">
        <f aca="false">ROUND(D29+D30+D31-D28,2)</f>
        <v>0</v>
      </c>
      <c r="E32" s="23" t="n">
        <f aca="false">ROUND(E29+E30+E31-E28,2)</f>
        <v>0</v>
      </c>
      <c r="F32" s="23" t="n">
        <f aca="false">ROUND(F29+F30+F31-F28,2)</f>
        <v>0</v>
      </c>
      <c r="G32" s="44" t="n">
        <f aca="false">SUM(C32:F32)</f>
        <v>0</v>
      </c>
      <c r="H32" s="23" t="n">
        <f aca="false">ROUND(H29+H30+H31-H28,2)</f>
        <v>0</v>
      </c>
      <c r="I32" s="23" t="n">
        <f aca="false">ROUND(I29+I30+I31-I28,2)</f>
        <v>0</v>
      </c>
      <c r="J32" s="23" t="n">
        <f aca="false">ROUND(J29+J30+J31-J28,2)</f>
        <v>0</v>
      </c>
      <c r="K32" s="23" t="n">
        <f aca="false">ROUND(K29+K30+K31-K28,2)</f>
        <v>0</v>
      </c>
      <c r="L32" s="44" t="n">
        <f aca="false">SUM(H32:K32)</f>
        <v>0</v>
      </c>
      <c r="M32" s="23" t="n">
        <f aca="false">ROUND(M29+M30+M31-M28,2)</f>
        <v>0</v>
      </c>
      <c r="N32" s="23" t="n">
        <f aca="false">ROUND(N29+N30+N31-N28,2)</f>
        <v>0</v>
      </c>
      <c r="O32" s="23" t="n">
        <f aca="false">ROUND(O29+O30+O31-O28,2)</f>
        <v>0</v>
      </c>
      <c r="P32" s="23" t="n">
        <f aca="false">ROUND(P29+P30+P31-P28,2)</f>
        <v>0</v>
      </c>
      <c r="Q32" s="44" t="n">
        <f aca="false">SUM(M32:P32)</f>
        <v>0</v>
      </c>
      <c r="R32" s="23" t="n">
        <f aca="false">ROUND(R29+R30+R31-R28,2)</f>
        <v>0</v>
      </c>
      <c r="S32" s="23" t="n">
        <f aca="false">ROUND(S29+S30+S31-S28,2)</f>
        <v>0</v>
      </c>
      <c r="T32" s="23" t="n">
        <f aca="false">ROUND(T29+T30+T31-T28,2)</f>
        <v>0</v>
      </c>
      <c r="U32" s="23" t="n">
        <f aca="false">ROUND(U29+U30+U31-U28,2)</f>
        <v>0</v>
      </c>
      <c r="V32" s="44" t="n">
        <f aca="false">SUM(R32:U32)</f>
        <v>0</v>
      </c>
    </row>
    <row r="33" customFormat="false" ht="15" hidden="false" customHeight="false" outlineLevel="0" collapsed="false">
      <c r="A33" s="8" t="s">
        <v>340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 customFormat="false" ht="15" hidden="false" customHeight="false" outlineLevel="0" collapsed="false">
      <c r="B34" s="6" t="s">
        <v>341</v>
      </c>
      <c r="C34" s="31" t="n">
        <f aca="false">Inputs!$C$16</f>
        <v>0.85</v>
      </c>
      <c r="D34" s="31" t="n">
        <f aca="false">Inputs!$C$16</f>
        <v>0.85</v>
      </c>
      <c r="E34" s="31" t="n">
        <f aca="false">Inputs!$C$16</f>
        <v>0.85</v>
      </c>
      <c r="F34" s="31" t="n">
        <f aca="false">Inputs!$C$16</f>
        <v>0.85</v>
      </c>
      <c r="G34" s="40"/>
      <c r="H34" s="31" t="n">
        <f aca="false">Inputs!$C$16</f>
        <v>0.85</v>
      </c>
      <c r="I34" s="31" t="n">
        <f aca="false">Inputs!$C$16</f>
        <v>0.85</v>
      </c>
      <c r="J34" s="31" t="n">
        <f aca="false">Inputs!$C$16</f>
        <v>0.85</v>
      </c>
      <c r="K34" s="31" t="n">
        <f aca="false">Inputs!$C$16</f>
        <v>0.85</v>
      </c>
      <c r="L34" s="40"/>
      <c r="M34" s="31" t="n">
        <f aca="false">Inputs!$C$16</f>
        <v>0.85</v>
      </c>
      <c r="N34" s="31" t="n">
        <f aca="false">Inputs!$C$16</f>
        <v>0.85</v>
      </c>
      <c r="O34" s="31" t="n">
        <f aca="false">Inputs!$C$16</f>
        <v>0.85</v>
      </c>
      <c r="P34" s="31" t="n">
        <f aca="false">Inputs!$C$16</f>
        <v>0.85</v>
      </c>
      <c r="Q34" s="40"/>
      <c r="R34" s="31" t="n">
        <f aca="false">Inputs!$C$16</f>
        <v>0.85</v>
      </c>
      <c r="S34" s="31" t="n">
        <f aca="false">Inputs!$C$16</f>
        <v>0.85</v>
      </c>
      <c r="T34" s="31" t="n">
        <f aca="false">Inputs!$C$16</f>
        <v>0.85</v>
      </c>
      <c r="U34" s="31" t="n">
        <f aca="false">Inputs!$C$16</f>
        <v>0.85</v>
      </c>
      <c r="V34" s="40"/>
    </row>
    <row r="35" customFormat="false" ht="15" hidden="false" customHeight="false" outlineLevel="0" collapsed="false">
      <c r="B35" s="6" t="s">
        <v>342</v>
      </c>
      <c r="C35" s="39" t="n">
        <f aca="false">Inputs!$C$32</f>
        <v>300</v>
      </c>
      <c r="D35" s="39" t="n">
        <f aca="false">Inputs!$D$32</f>
        <v>200</v>
      </c>
      <c r="E35" s="39" t="n">
        <f aca="false">Inputs!$E$32</f>
        <v>175</v>
      </c>
      <c r="F35" s="39" t="n">
        <f aca="false">Inputs!$F$32</f>
        <v>125</v>
      </c>
      <c r="G35" s="40"/>
      <c r="H35" s="39" t="n">
        <f aca="false">Inputs!$C$32</f>
        <v>300</v>
      </c>
      <c r="I35" s="39" t="n">
        <f aca="false">Inputs!$D$32</f>
        <v>200</v>
      </c>
      <c r="J35" s="39" t="n">
        <f aca="false">Inputs!$E$32</f>
        <v>175</v>
      </c>
      <c r="K35" s="39" t="n">
        <f aca="false">Inputs!$F$32</f>
        <v>125</v>
      </c>
      <c r="L35" s="40"/>
      <c r="M35" s="39" t="n">
        <f aca="false">Inputs!$C$32</f>
        <v>300</v>
      </c>
      <c r="N35" s="39" t="n">
        <f aca="false">Inputs!$D$32</f>
        <v>200</v>
      </c>
      <c r="O35" s="39" t="n">
        <f aca="false">Inputs!$E$32</f>
        <v>175</v>
      </c>
      <c r="P35" s="39" t="n">
        <f aca="false">Inputs!$F$32</f>
        <v>125</v>
      </c>
      <c r="Q35" s="40"/>
      <c r="R35" s="39" t="n">
        <f aca="false">Inputs!$C$32</f>
        <v>300</v>
      </c>
      <c r="S35" s="39" t="n">
        <f aca="false">Inputs!$D$32</f>
        <v>200</v>
      </c>
      <c r="T35" s="39" t="n">
        <f aca="false">Inputs!$E$32</f>
        <v>175</v>
      </c>
      <c r="U35" s="39" t="n">
        <f aca="false">Inputs!$F$32</f>
        <v>125</v>
      </c>
      <c r="V35" s="40"/>
    </row>
    <row r="36" customFormat="false" ht="15" hidden="false" customHeight="false" outlineLevel="0" collapsed="false">
      <c r="B36" s="6" t="s">
        <v>343</v>
      </c>
      <c r="C36" s="29" t="n">
        <f aca="false">C8/(C35*C34)</f>
        <v>1.17444444444444</v>
      </c>
      <c r="D36" s="29" t="n">
        <f aca="false">D8/(D35*D34)</f>
        <v>1.54</v>
      </c>
      <c r="E36" s="29" t="n">
        <f aca="false">E8/(E35*E34)</f>
        <v>4.04380952380952</v>
      </c>
      <c r="F36" s="29" t="n">
        <f aca="false">F8/(F35*F34)</f>
        <v>2.74666666666667</v>
      </c>
      <c r="G36" s="45" t="n">
        <f aca="false">SUM(C36:F36)</f>
        <v>9.50492063492063</v>
      </c>
      <c r="H36" s="29" t="n">
        <f aca="false">H8/(H35*H34)</f>
        <v>1.38169934640523</v>
      </c>
      <c r="I36" s="29" t="n">
        <f aca="false">I8/(I35*I34)</f>
        <v>1.81176470588235</v>
      </c>
      <c r="J36" s="29" t="n">
        <f aca="false">J8/(J35*J34)</f>
        <v>4.75742296918768</v>
      </c>
      <c r="K36" s="29" t="n">
        <f aca="false">K8/(K35*K34)</f>
        <v>3.23137254901961</v>
      </c>
      <c r="L36" s="45" t="n">
        <f aca="false">SUM(H36:K36)</f>
        <v>11.1822595704949</v>
      </c>
      <c r="M36" s="29" t="n">
        <f aca="false">M8/(M35*M34)</f>
        <v>1.38169934640523</v>
      </c>
      <c r="N36" s="29" t="n">
        <f aca="false">N8/(N35*N34)</f>
        <v>1.81176470588235</v>
      </c>
      <c r="O36" s="29" t="n">
        <f aca="false">O8/(O35*O34)</f>
        <v>4.75742296918768</v>
      </c>
      <c r="P36" s="29" t="n">
        <f aca="false">P8/(P35*P34)</f>
        <v>3.23137254901961</v>
      </c>
      <c r="Q36" s="45" t="n">
        <f aca="false">SUM(M36:P36)</f>
        <v>11.1822595704949</v>
      </c>
      <c r="R36" s="29" t="n">
        <f aca="false">R8/(R35*R34)</f>
        <v>1.35294117647059</v>
      </c>
      <c r="S36" s="29" t="n">
        <f aca="false">S8/(S35*S34)</f>
        <v>2.25294117647059</v>
      </c>
      <c r="T36" s="29" t="n">
        <f aca="false">T8/(T35*T34)</f>
        <v>5.27731092436975</v>
      </c>
      <c r="U36" s="29" t="n">
        <f aca="false">U8/(U35*U34)</f>
        <v>3.78352941176471</v>
      </c>
      <c r="V36" s="45" t="n">
        <f aca="false">SUM(R36:U36)</f>
        <v>12.6667226890756</v>
      </c>
    </row>
    <row r="37" customFormat="false" ht="15" hidden="false" customHeight="false" outlineLevel="0" collapsed="false">
      <c r="B37" s="6" t="s">
        <v>344</v>
      </c>
      <c r="C37" s="39" t="n">
        <f aca="false">Inputs!$C$33</f>
        <v>45</v>
      </c>
      <c r="D37" s="39" t="n">
        <f aca="false">Inputs!$D$33</f>
        <v>30</v>
      </c>
      <c r="E37" s="39" t="n">
        <f aca="false">Inputs!$E$33</f>
        <v>20</v>
      </c>
      <c r="F37" s="39" t="n">
        <f aca="false">Inputs!$F$33</f>
        <v>12</v>
      </c>
      <c r="G37" s="40"/>
      <c r="H37" s="39" t="n">
        <f aca="false">Inputs!$C$33</f>
        <v>45</v>
      </c>
      <c r="I37" s="39" t="n">
        <f aca="false">Inputs!$D$33</f>
        <v>30</v>
      </c>
      <c r="J37" s="39" t="n">
        <f aca="false">Inputs!$E$33</f>
        <v>20</v>
      </c>
      <c r="K37" s="39" t="n">
        <f aca="false">Inputs!$F$33</f>
        <v>12</v>
      </c>
      <c r="L37" s="40"/>
      <c r="M37" s="39" t="n">
        <f aca="false">Inputs!$C$33</f>
        <v>45</v>
      </c>
      <c r="N37" s="39" t="n">
        <f aca="false">Inputs!$D$33</f>
        <v>30</v>
      </c>
      <c r="O37" s="39" t="n">
        <f aca="false">Inputs!$E$33</f>
        <v>20</v>
      </c>
      <c r="P37" s="39" t="n">
        <f aca="false">Inputs!$F$33</f>
        <v>12</v>
      </c>
      <c r="Q37" s="40"/>
      <c r="R37" s="39" t="n">
        <f aca="false">Inputs!$C$33</f>
        <v>45</v>
      </c>
      <c r="S37" s="39" t="n">
        <f aca="false">Inputs!$D$33</f>
        <v>30</v>
      </c>
      <c r="T37" s="39" t="n">
        <f aca="false">Inputs!$E$33</f>
        <v>20</v>
      </c>
      <c r="U37" s="39" t="n">
        <f aca="false">Inputs!$F$33</f>
        <v>12</v>
      </c>
      <c r="V37" s="40"/>
    </row>
    <row r="38" customFormat="false" ht="15" hidden="false" customHeight="false" outlineLevel="0" collapsed="false">
      <c r="B38" s="6" t="s">
        <v>345</v>
      </c>
      <c r="C38" s="29" t="n">
        <f aca="false">C18/(C37*C34)</f>
        <v>2.89083459112195</v>
      </c>
      <c r="D38" s="29" t="n">
        <f aca="false">D18/(D37*D34)</f>
        <v>3.71645381013197</v>
      </c>
      <c r="E38" s="29" t="n">
        <f aca="false">E18/(E37*E34)</f>
        <v>9.24327090369461</v>
      </c>
      <c r="F38" s="29" t="n">
        <f aca="false">F18/(F37*F34)</f>
        <v>5.44444444444444</v>
      </c>
      <c r="G38" s="45" t="n">
        <f aca="false">SUM(C38:F38)</f>
        <v>21.295003749393</v>
      </c>
      <c r="H38" s="29" t="n">
        <f aca="false">H18/(H37*H34)</f>
        <v>3.48170230590785</v>
      </c>
      <c r="I38" s="29" t="n">
        <f aca="false">I18/(I37*I34)</f>
        <v>4.48315929181379</v>
      </c>
      <c r="J38" s="29" t="n">
        <f aca="false">J18/(J37*J34)</f>
        <v>11.0625982047716</v>
      </c>
      <c r="K38" s="29" t="n">
        <f aca="false">K18/(K37*K34)</f>
        <v>6.40522875816994</v>
      </c>
      <c r="L38" s="45" t="n">
        <f aca="false">SUM(H38:K38)</f>
        <v>25.4326885606632</v>
      </c>
      <c r="M38" s="29" t="n">
        <f aca="false">M18/(M37*M34)</f>
        <v>3.6431431739072</v>
      </c>
      <c r="N38" s="29" t="n">
        <f aca="false">N18/(N37*N34)</f>
        <v>4.70488067513085</v>
      </c>
      <c r="O38" s="29" t="n">
        <f aca="false">O18/(O37*O34)</f>
        <v>11.4389218997393</v>
      </c>
      <c r="P38" s="29" t="n">
        <f aca="false">P18/(P37*P34)</f>
        <v>6.40522875816994</v>
      </c>
      <c r="Q38" s="45" t="n">
        <f aca="false">SUM(M38:P38)</f>
        <v>26.1921745069473</v>
      </c>
      <c r="R38" s="29" t="n">
        <f aca="false">R18/(R37*R34)</f>
        <v>3.45686069621161</v>
      </c>
      <c r="S38" s="29" t="n">
        <f aca="false">S18/(S37*S34)</f>
        <v>5.47429444319235</v>
      </c>
      <c r="T38" s="29" t="n">
        <f aca="false">T18/(T37*T34)</f>
        <v>12.1091856453972</v>
      </c>
      <c r="U38" s="29" t="n">
        <f aca="false">U18/(U37*U34)</f>
        <v>8.23529411764706</v>
      </c>
      <c r="V38" s="45" t="n">
        <f aca="false">SUM(R38:U38)</f>
        <v>29.2756349024483</v>
      </c>
    </row>
    <row r="39" customFormat="false" ht="15" hidden="false" customHeight="false" outlineLevel="0" collapsed="false">
      <c r="B39" s="6" t="s">
        <v>346</v>
      </c>
      <c r="C39" s="31" t="n">
        <f aca="false">Inputs!$C$34</f>
        <v>0.05</v>
      </c>
      <c r="D39" s="31" t="n">
        <f aca="false">Inputs!$D$34</f>
        <v>0.15</v>
      </c>
      <c r="E39" s="31" t="n">
        <f aca="false">Inputs!$E$34</f>
        <v>0.5</v>
      </c>
      <c r="F39" s="31" t="n">
        <f aca="false">Inputs!$F$34</f>
        <v>1</v>
      </c>
      <c r="G39" s="40"/>
      <c r="H39" s="31" t="n">
        <f aca="false">Inputs!$C$34</f>
        <v>0.05</v>
      </c>
      <c r="I39" s="31" t="n">
        <f aca="false">Inputs!$D$34</f>
        <v>0.15</v>
      </c>
      <c r="J39" s="31" t="n">
        <f aca="false">Inputs!$E$34</f>
        <v>0.5</v>
      </c>
      <c r="K39" s="31" t="n">
        <f aca="false">Inputs!$F$34</f>
        <v>1</v>
      </c>
      <c r="L39" s="40"/>
      <c r="M39" s="31" t="n">
        <f aca="false">Inputs!$C$34</f>
        <v>0.05</v>
      </c>
      <c r="N39" s="31" t="n">
        <f aca="false">Inputs!$D$34</f>
        <v>0.15</v>
      </c>
      <c r="O39" s="31" t="n">
        <f aca="false">Inputs!$E$34</f>
        <v>0.5</v>
      </c>
      <c r="P39" s="31" t="n">
        <f aca="false">Inputs!$F$34</f>
        <v>1</v>
      </c>
      <c r="Q39" s="40"/>
      <c r="R39" s="31" t="n">
        <f aca="false">Inputs!$C$34</f>
        <v>0.05</v>
      </c>
      <c r="S39" s="31" t="n">
        <f aca="false">Inputs!$D$34</f>
        <v>0.15</v>
      </c>
      <c r="T39" s="31" t="n">
        <f aca="false">Inputs!$E$34</f>
        <v>0.5</v>
      </c>
      <c r="U39" s="31" t="n">
        <f aca="false">Inputs!$F$34</f>
        <v>1</v>
      </c>
      <c r="V39" s="40"/>
    </row>
    <row r="40" customFormat="false" ht="15" hidden="false" customHeight="false" outlineLevel="0" collapsed="false">
      <c r="B40" s="6" t="s">
        <v>347</v>
      </c>
      <c r="C40" s="39" t="n">
        <f aca="false">Inputs!$C$35</f>
        <v>30</v>
      </c>
      <c r="D40" s="39" t="n">
        <f aca="false">Inputs!$D$35</f>
        <v>30</v>
      </c>
      <c r="E40" s="39" t="n">
        <f aca="false">Inputs!$E$35</f>
        <v>30</v>
      </c>
      <c r="F40" s="39" t="n">
        <f aca="false">Inputs!$F$35</f>
        <v>20</v>
      </c>
      <c r="G40" s="40"/>
      <c r="H40" s="39" t="n">
        <f aca="false">Inputs!$C$35</f>
        <v>30</v>
      </c>
      <c r="I40" s="39" t="n">
        <f aca="false">Inputs!$D$35</f>
        <v>30</v>
      </c>
      <c r="J40" s="39" t="n">
        <f aca="false">Inputs!$E$35</f>
        <v>30</v>
      </c>
      <c r="K40" s="39" t="n">
        <f aca="false">Inputs!$F$35</f>
        <v>20</v>
      </c>
      <c r="L40" s="40"/>
      <c r="M40" s="39" t="n">
        <f aca="false">Inputs!$C$35</f>
        <v>30</v>
      </c>
      <c r="N40" s="39" t="n">
        <f aca="false">Inputs!$D$35</f>
        <v>30</v>
      </c>
      <c r="O40" s="39" t="n">
        <f aca="false">Inputs!$E$35</f>
        <v>30</v>
      </c>
      <c r="P40" s="39" t="n">
        <f aca="false">Inputs!$F$35</f>
        <v>20</v>
      </c>
      <c r="Q40" s="40"/>
      <c r="R40" s="39" t="n">
        <f aca="false">Inputs!$C$35</f>
        <v>30</v>
      </c>
      <c r="S40" s="39" t="n">
        <f aca="false">Inputs!$D$35</f>
        <v>30</v>
      </c>
      <c r="T40" s="39" t="n">
        <f aca="false">Inputs!$E$35</f>
        <v>30</v>
      </c>
      <c r="U40" s="39" t="n">
        <f aca="false">Inputs!$F$35</f>
        <v>20</v>
      </c>
      <c r="V40" s="40"/>
    </row>
    <row r="41" customFormat="false" ht="15" hidden="false" customHeight="false" outlineLevel="0" collapsed="false">
      <c r="B41" s="6" t="s">
        <v>348</v>
      </c>
      <c r="C41" s="24" t="n">
        <f aca="false">Inputs!$C$45*C20</f>
        <v>0</v>
      </c>
      <c r="D41" s="24" t="n">
        <f aca="false">Inputs!$C$45*D20</f>
        <v>0</v>
      </c>
      <c r="E41" s="24" t="n">
        <f aca="false">Inputs!$C$45*E20</f>
        <v>0</v>
      </c>
      <c r="F41" s="24" t="n">
        <f aca="false">Inputs!$C$45*F20</f>
        <v>0.3</v>
      </c>
      <c r="G41" s="40"/>
      <c r="H41" s="24" t="n">
        <f aca="false">Inputs!$C$45*H20</f>
        <v>0</v>
      </c>
      <c r="I41" s="24" t="n">
        <f aca="false">Inputs!$C$45*I20</f>
        <v>0</v>
      </c>
      <c r="J41" s="24" t="n">
        <f aca="false">Inputs!$C$45*J20</f>
        <v>0</v>
      </c>
      <c r="K41" s="24" t="n">
        <f aca="false">Inputs!$C$45*K20</f>
        <v>0.3</v>
      </c>
      <c r="L41" s="40"/>
      <c r="M41" s="24" t="n">
        <f aca="false">Inputs!$C$45*M20</f>
        <v>0</v>
      </c>
      <c r="N41" s="24" t="n">
        <f aca="false">Inputs!$C$45*N20</f>
        <v>0</v>
      </c>
      <c r="O41" s="24" t="n">
        <f aca="false">Inputs!$C$45*O20</f>
        <v>0</v>
      </c>
      <c r="P41" s="24" t="n">
        <f aca="false">Inputs!$C$45*P20</f>
        <v>0.3</v>
      </c>
      <c r="Q41" s="40"/>
      <c r="R41" s="24" t="n">
        <f aca="false">Inputs!$C$45*R20</f>
        <v>0</v>
      </c>
      <c r="S41" s="24" t="n">
        <f aca="false">Inputs!$C$45*S20</f>
        <v>0</v>
      </c>
      <c r="T41" s="24" t="n">
        <f aca="false">Inputs!$C$45*T20</f>
        <v>0</v>
      </c>
      <c r="U41" s="24" t="n">
        <f aca="false">Inputs!$C$45*U20</f>
        <v>0.3</v>
      </c>
      <c r="V41" s="40"/>
    </row>
    <row r="42" customFormat="false" ht="15" hidden="false" customHeight="false" outlineLevel="0" collapsed="false">
      <c r="B42" s="6" t="s">
        <v>349</v>
      </c>
      <c r="C42" s="29" t="n">
        <f aca="false">C18*C39*((1-C41)/C40+C41/Inputs!$C$46)/C34</f>
        <v>0.216812594334146</v>
      </c>
      <c r="D42" s="29" t="n">
        <f aca="false">D18*D39*((1-D41)/D40+D41/Inputs!$C$46)/D34</f>
        <v>0.557468071519796</v>
      </c>
      <c r="E42" s="29" t="n">
        <f aca="false">E18*E39*((1-E41)/E40+E41/Inputs!$C$46)/E34</f>
        <v>3.08109030123154</v>
      </c>
      <c r="F42" s="29" t="n">
        <f aca="false">F18*F39*((1-F41)/F40+F41/Inputs!$C$46)/F34</f>
        <v>3.92</v>
      </c>
      <c r="G42" s="45" t="n">
        <f aca="false">SUM(C42:F42)</f>
        <v>7.77537096708548</v>
      </c>
      <c r="H42" s="29" t="n">
        <f aca="false">H18*H39*((1-H41)/H40+H41/Inputs!$C$46)/H34</f>
        <v>0.261127672943089</v>
      </c>
      <c r="I42" s="29" t="n">
        <f aca="false">I18*I39*((1-I41)/I40+I41/Inputs!$C$46)/I34</f>
        <v>0.672473893772068</v>
      </c>
      <c r="J42" s="29" t="n">
        <f aca="false">J18*J39*((1-J41)/J40+J41/Inputs!$C$46)/J34</f>
        <v>3.68753273492387</v>
      </c>
      <c r="K42" s="29" t="n">
        <f aca="false">K18*K39*((1-K41)/K40+K41/Inputs!$C$46)/K34</f>
        <v>4.61176470588235</v>
      </c>
      <c r="L42" s="45" t="n">
        <f aca="false">SUM(H42:K42)</f>
        <v>9.23289900752138</v>
      </c>
      <c r="M42" s="29" t="n">
        <f aca="false">M18*M39*((1-M41)/M40+M41/Inputs!$C$46)/M34</f>
        <v>0.27323573804304</v>
      </c>
      <c r="N42" s="29" t="n">
        <f aca="false">N18*N39*((1-N41)/N40+N41/Inputs!$C$46)/N34</f>
        <v>0.705732101269627</v>
      </c>
      <c r="O42" s="29" t="n">
        <f aca="false">O18*O39*((1-O41)/O40+O41/Inputs!$C$46)/O34</f>
        <v>3.81297396657977</v>
      </c>
      <c r="P42" s="29" t="n">
        <f aca="false">P18*P39*((1-P41)/P40+P41/Inputs!$C$46)/P34</f>
        <v>4.61176470588235</v>
      </c>
      <c r="Q42" s="45" t="n">
        <f aca="false">SUM(M42:P42)</f>
        <v>9.40370651177479</v>
      </c>
      <c r="R42" s="29" t="n">
        <f aca="false">R18*R39*((1-R41)/R40+R41/Inputs!$C$46)/R34</f>
        <v>0.259264552215871</v>
      </c>
      <c r="S42" s="29" t="n">
        <f aca="false">S18*S39*((1-S41)/S40+S41/Inputs!$C$46)/S34</f>
        <v>0.821144166478852</v>
      </c>
      <c r="T42" s="29" t="n">
        <f aca="false">T18*T39*((1-T41)/T40+T41/Inputs!$C$46)/T34</f>
        <v>4.03639521513242</v>
      </c>
      <c r="U42" s="29" t="n">
        <f aca="false">U18*U39*((1-U41)/U40+U41/Inputs!$C$46)/U34</f>
        <v>5.92941176470588</v>
      </c>
      <c r="V42" s="45" t="n">
        <f aca="false">SUM(R42:U42)</f>
        <v>11.046215698533</v>
      </c>
    </row>
    <row r="43" customFormat="false" ht="15" hidden="false" customHeight="false" outlineLevel="0" collapsed="false">
      <c r="B43" s="6" t="s">
        <v>350</v>
      </c>
      <c r="C43" s="29" t="n">
        <f aca="false">C36+C38+C42</f>
        <v>4.28209162990054</v>
      </c>
      <c r="D43" s="29" t="n">
        <f aca="false">D36+D38+D42</f>
        <v>5.81392188165177</v>
      </c>
      <c r="E43" s="29" t="n">
        <f aca="false">E36+E38+E42</f>
        <v>16.3681707287357</v>
      </c>
      <c r="F43" s="29" t="n">
        <f aca="false">F36+F38+F42</f>
        <v>12.1111111111111</v>
      </c>
      <c r="G43" s="45" t="n">
        <f aca="false">SUM(C43:F43)</f>
        <v>38.5752953513991</v>
      </c>
      <c r="H43" s="29" t="n">
        <f aca="false">H36+H38+H42</f>
        <v>5.12452932525617</v>
      </c>
      <c r="I43" s="29" t="n">
        <f aca="false">I36+I38+I42</f>
        <v>6.96739789146821</v>
      </c>
      <c r="J43" s="29" t="n">
        <f aca="false">J36+J38+J42</f>
        <v>19.5075539088832</v>
      </c>
      <c r="K43" s="29" t="n">
        <f aca="false">K36+K38+K42</f>
        <v>14.2483660130719</v>
      </c>
      <c r="L43" s="45" t="n">
        <f aca="false">SUM(H43:K43)</f>
        <v>45.8478471386794</v>
      </c>
      <c r="M43" s="29" t="n">
        <f aca="false">M36+M38+M42</f>
        <v>5.29807825835547</v>
      </c>
      <c r="N43" s="29" t="n">
        <f aca="false">N36+N38+N42</f>
        <v>7.22237748228282</v>
      </c>
      <c r="O43" s="29" t="n">
        <f aca="false">O36+O38+O42</f>
        <v>20.0093188355068</v>
      </c>
      <c r="P43" s="29" t="n">
        <f aca="false">P36+P38+P42</f>
        <v>14.2483660130719</v>
      </c>
      <c r="Q43" s="45" t="n">
        <f aca="false">SUM(M43:P43)</f>
        <v>46.778140589217</v>
      </c>
      <c r="R43" s="29" t="n">
        <f aca="false">R36+R38+R42</f>
        <v>5.06906642489807</v>
      </c>
      <c r="S43" s="29" t="n">
        <f aca="false">S36+S38+S42</f>
        <v>8.54837978614179</v>
      </c>
      <c r="T43" s="29" t="n">
        <f aca="false">T36+T38+T42</f>
        <v>21.4228917848994</v>
      </c>
      <c r="U43" s="29" t="n">
        <f aca="false">U36+U38+U42</f>
        <v>17.9482352941176</v>
      </c>
      <c r="V43" s="45" t="n">
        <f aca="false">SUM(R43:U43)</f>
        <v>52.9885732900569</v>
      </c>
    </row>
    <row r="44" customFormat="false" ht="15" hidden="false" customHeight="false" outlineLevel="0" collapsed="false">
      <c r="A44" s="8" t="s">
        <v>351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</row>
    <row r="45" customFormat="false" ht="15" hidden="false" customHeight="false" outlineLevel="0" collapsed="false">
      <c r="B45" s="6" t="s">
        <v>352</v>
      </c>
      <c r="C45" s="30" t="n">
        <f aca="false">Inputs!$C$39</f>
        <v>400000</v>
      </c>
      <c r="D45" s="30" t="n">
        <f aca="false">Inputs!$D$39</f>
        <v>650000</v>
      </c>
      <c r="E45" s="30" t="n">
        <f aca="false">Inputs!$E$39</f>
        <v>600000</v>
      </c>
      <c r="F45" s="30" t="n">
        <f aca="false">Inputs!$F$39</f>
        <v>900000</v>
      </c>
      <c r="G45" s="40"/>
      <c r="H45" s="30" t="n">
        <f aca="false">Inputs!$C$39</f>
        <v>400000</v>
      </c>
      <c r="I45" s="30" t="n">
        <f aca="false">Inputs!$D$39</f>
        <v>650000</v>
      </c>
      <c r="J45" s="30" t="n">
        <f aca="false">Inputs!$E$39</f>
        <v>600000</v>
      </c>
      <c r="K45" s="30" t="n">
        <f aca="false">Inputs!$F$39</f>
        <v>900000</v>
      </c>
      <c r="L45" s="40"/>
      <c r="M45" s="30" t="n">
        <f aca="false">Inputs!$C$39</f>
        <v>400000</v>
      </c>
      <c r="N45" s="30" t="n">
        <f aca="false">Inputs!$D$39</f>
        <v>650000</v>
      </c>
      <c r="O45" s="30" t="n">
        <f aca="false">Inputs!$E$39</f>
        <v>600000</v>
      </c>
      <c r="P45" s="30" t="n">
        <f aca="false">Inputs!$F$39</f>
        <v>900000</v>
      </c>
      <c r="Q45" s="40"/>
      <c r="R45" s="30" t="n">
        <f aca="false">Inputs!$C$39</f>
        <v>400000</v>
      </c>
      <c r="S45" s="30" t="n">
        <f aca="false">Inputs!$D$39</f>
        <v>650000</v>
      </c>
      <c r="T45" s="30" t="n">
        <f aca="false">Inputs!$E$39</f>
        <v>600000</v>
      </c>
      <c r="U45" s="30" t="n">
        <f aca="false">Inputs!$F$39</f>
        <v>900000</v>
      </c>
      <c r="V45" s="40"/>
    </row>
    <row r="46" customFormat="false" ht="15" hidden="false" customHeight="false" outlineLevel="0" collapsed="false">
      <c r="B46" s="6" t="s">
        <v>353</v>
      </c>
      <c r="C46" s="31" t="n">
        <f aca="false">Inputs!$C$40</f>
        <v>0.8</v>
      </c>
      <c r="D46" s="31" t="n">
        <f aca="false">Inputs!$D$40</f>
        <v>0.8</v>
      </c>
      <c r="E46" s="31" t="n">
        <f aca="false">Inputs!$E$40</f>
        <v>0.8</v>
      </c>
      <c r="F46" s="31" t="n">
        <f aca="false">Inputs!$F$40</f>
        <v>0.8</v>
      </c>
      <c r="G46" s="40"/>
      <c r="H46" s="31" t="n">
        <f aca="false">Inputs!$C$40</f>
        <v>0.8</v>
      </c>
      <c r="I46" s="31" t="n">
        <f aca="false">Inputs!$D$40</f>
        <v>0.8</v>
      </c>
      <c r="J46" s="31" t="n">
        <f aca="false">Inputs!$E$40</f>
        <v>0.8</v>
      </c>
      <c r="K46" s="31" t="n">
        <f aca="false">Inputs!$F$40</f>
        <v>0.8</v>
      </c>
      <c r="L46" s="40"/>
      <c r="M46" s="31" t="n">
        <f aca="false">Inputs!$C$40</f>
        <v>0.8</v>
      </c>
      <c r="N46" s="31" t="n">
        <f aca="false">Inputs!$D$40</f>
        <v>0.8</v>
      </c>
      <c r="O46" s="31" t="n">
        <f aca="false">Inputs!$E$40</f>
        <v>0.8</v>
      </c>
      <c r="P46" s="31" t="n">
        <f aca="false">Inputs!$F$40</f>
        <v>0.8</v>
      </c>
      <c r="Q46" s="40"/>
      <c r="R46" s="31" t="n">
        <f aca="false">Inputs!$C$40</f>
        <v>0.8</v>
      </c>
      <c r="S46" s="31" t="n">
        <f aca="false">Inputs!$D$40</f>
        <v>0.8</v>
      </c>
      <c r="T46" s="31" t="n">
        <f aca="false">Inputs!$E$40</f>
        <v>0.8</v>
      </c>
      <c r="U46" s="31" t="n">
        <f aca="false">Inputs!$F$40</f>
        <v>0.8</v>
      </c>
      <c r="V46" s="40"/>
    </row>
    <row r="47" customFormat="false" ht="15" hidden="false" customHeight="false" outlineLevel="0" collapsed="false">
      <c r="B47" s="6" t="s">
        <v>354</v>
      </c>
      <c r="C47" s="29" t="n">
        <f aca="false">C28/(C45*C46)</f>
        <v>3.81529635877421</v>
      </c>
      <c r="D47" s="29" t="n">
        <f aca="false">D28/(D45*D46)</f>
        <v>5.03993232311899</v>
      </c>
      <c r="E47" s="29" t="n">
        <f aca="false">E28/(E45*E46)</f>
        <v>8.25142083481291</v>
      </c>
      <c r="F47" s="29" t="n">
        <f aca="false">F28/(F45*F46)</f>
        <v>2.45558569799178</v>
      </c>
      <c r="G47" s="45" t="n">
        <f aca="false">SUM(C47:F47)</f>
        <v>19.5622352146979</v>
      </c>
      <c r="H47" s="29" t="n">
        <f aca="false">H28/(H45*H46)</f>
        <v>5.1128101850452</v>
      </c>
      <c r="I47" s="29" t="n">
        <f aca="false">I28/(I45*I46)</f>
        <v>6.76461578276459</v>
      </c>
      <c r="J47" s="29" t="n">
        <f aca="false">J28/(J45*J46)</f>
        <v>10.9881149489596</v>
      </c>
      <c r="K47" s="29" t="n">
        <f aca="false">K28/(K45*K46)</f>
        <v>3.36367092244444</v>
      </c>
      <c r="L47" s="45" t="n">
        <f aca="false">SUM(H47:K47)</f>
        <v>26.2292118392138</v>
      </c>
      <c r="M47" s="29" t="n">
        <f aca="false">M28/(M45*M46)</f>
        <v>5.34988287009039</v>
      </c>
      <c r="N47" s="29" t="n">
        <f aca="false">N28/(N45*N46)</f>
        <v>7.09917002706764</v>
      </c>
      <c r="O47" s="29" t="n">
        <f aca="false">O28/(O45*O46)</f>
        <v>11.3619048979192</v>
      </c>
      <c r="P47" s="29" t="n">
        <f aca="false">P28/(P45*P46)</f>
        <v>3.51294740044444</v>
      </c>
      <c r="Q47" s="45" t="n">
        <f aca="false">SUM(M47:P47)</f>
        <v>27.3239051955217</v>
      </c>
      <c r="R47" s="29" t="n">
        <f aca="false">R28/(R45*R46)</f>
        <v>5.45427801724138</v>
      </c>
      <c r="S47" s="29" t="n">
        <f aca="false">S28/(S45*S46)</f>
        <v>8.75269957094924</v>
      </c>
      <c r="T47" s="29" t="n">
        <f aca="false">T28/(T45*T46)</f>
        <v>13.2668253376362</v>
      </c>
      <c r="U47" s="29" t="n">
        <f aca="false">U28/(U45*U46)</f>
        <v>4.9556172969697</v>
      </c>
      <c r="V47" s="45" t="n">
        <f aca="false">SUM(R47:U47)</f>
        <v>32.4294202227965</v>
      </c>
    </row>
    <row r="48" customFormat="false" ht="15" hidden="false" customHeight="false" outlineLevel="0" collapsed="false">
      <c r="B48" s="6" t="s">
        <v>355</v>
      </c>
      <c r="C48" s="29" t="n">
        <f aca="false">C38-C47</f>
        <v>-0.924461767652263</v>
      </c>
      <c r="D48" s="29" t="n">
        <f aca="false">D38-D47</f>
        <v>-1.32347851298702</v>
      </c>
      <c r="E48" s="29" t="n">
        <f aca="false">E38-E47</f>
        <v>0.991850068881703</v>
      </c>
      <c r="F48" s="29" t="n">
        <f aca="false">F38-F47</f>
        <v>2.98885874645267</v>
      </c>
      <c r="G48" s="45" t="n">
        <f aca="false">SUM(C48:F48)</f>
        <v>1.73276853469508</v>
      </c>
      <c r="H48" s="29" t="n">
        <f aca="false">H38-H47</f>
        <v>-1.63110787913735</v>
      </c>
      <c r="I48" s="29" t="n">
        <f aca="false">I38-I47</f>
        <v>-2.2814564909508</v>
      </c>
      <c r="J48" s="29" t="n">
        <f aca="false">J38-J47</f>
        <v>0.0744832558120052</v>
      </c>
      <c r="K48" s="29" t="n">
        <f aca="false">K38-K47</f>
        <v>3.04155783572549</v>
      </c>
      <c r="L48" s="45" t="n">
        <f aca="false">SUM(H48:K48)</f>
        <v>-0.796523278550652</v>
      </c>
      <c r="M48" s="29" t="n">
        <f aca="false">M38-M47</f>
        <v>-1.70673969618319</v>
      </c>
      <c r="N48" s="29" t="n">
        <f aca="false">N38-N47</f>
        <v>-2.39428935193679</v>
      </c>
      <c r="O48" s="29" t="n">
        <f aca="false">O38-O47</f>
        <v>0.0770170018200904</v>
      </c>
      <c r="P48" s="29" t="n">
        <f aca="false">P38-P47</f>
        <v>2.89228135772549</v>
      </c>
      <c r="Q48" s="45" t="n">
        <f aca="false">SUM(M48:P48)</f>
        <v>-1.1317306885744</v>
      </c>
      <c r="R48" s="29" t="n">
        <f aca="false">R38-R47</f>
        <v>-1.99741732102977</v>
      </c>
      <c r="S48" s="29" t="n">
        <f aca="false">S38-S47</f>
        <v>-3.27840512775689</v>
      </c>
      <c r="T48" s="29" t="n">
        <f aca="false">T38-T47</f>
        <v>-1.15763969223896</v>
      </c>
      <c r="U48" s="29" t="n">
        <f aca="false">U38-U47</f>
        <v>3.27967682067736</v>
      </c>
      <c r="V48" s="45" t="n">
        <f aca="false">SUM(R48:U48)</f>
        <v>-3.15378532034826</v>
      </c>
    </row>
    <row r="49" customFormat="false" ht="15" hidden="false" customHeight="false" outlineLevel="0" collapsed="false">
      <c r="B49" s="6" t="s">
        <v>356</v>
      </c>
      <c r="C49" s="24" t="n">
        <f aca="false">C28/(C38*C45)</f>
        <v>1.05583249086375</v>
      </c>
      <c r="D49" s="24" t="n">
        <f aca="false">D28/(D38*D45)</f>
        <v>1.08489061467766</v>
      </c>
      <c r="E49" s="24" t="n">
        <f aca="false">E28/(E38*E45)</f>
        <v>0.714155923441755</v>
      </c>
      <c r="F49" s="24" t="n">
        <f aca="false">F28/(F38*F45)</f>
        <v>0.360820755623282</v>
      </c>
      <c r="G49" s="43" t="n">
        <f aca="false">G28/SUMPRODUCT(C38:F38,C45:F45)</f>
        <v>0.682720020547645</v>
      </c>
      <c r="H49" s="24" t="n">
        <f aca="false">H28/(H38*H45)</f>
        <v>1.17478399606299</v>
      </c>
      <c r="I49" s="24" t="n">
        <f aca="false">I28/(I38*I45)</f>
        <v>1.20711584709769</v>
      </c>
      <c r="J49" s="24" t="n">
        <f aca="false">J28/(J38*J45)</f>
        <v>0.794613688073395</v>
      </c>
      <c r="K49" s="24" t="n">
        <f aca="false">K28/(K38*K45)</f>
        <v>0.420115633578775</v>
      </c>
      <c r="L49" s="43" t="n">
        <f aca="false">L28/SUMPRODUCT(H38:K38,H45:K45)</f>
        <v>0.769036942331577</v>
      </c>
      <c r="M49" s="24" t="n">
        <f aca="false">M28/(M38*M45)</f>
        <v>1.17478399606299</v>
      </c>
      <c r="N49" s="24" t="n">
        <f aca="false">N28/(N38*N45)</f>
        <v>1.20711584709769</v>
      </c>
      <c r="O49" s="24" t="n">
        <f aca="false">O28/(O38*O45)</f>
        <v>0.794613688073395</v>
      </c>
      <c r="P49" s="24" t="n">
        <f aca="false">P28/(P38*P45)</f>
        <v>0.438759961035102</v>
      </c>
      <c r="Q49" s="43" t="n">
        <f aca="false">Q28/SUMPRODUCT(M38:P38,M45:P45)</f>
        <v>0.780854330305331</v>
      </c>
      <c r="R49" s="24" t="n">
        <f aca="false">R28/(R38*R45)</f>
        <v>1.26225</v>
      </c>
      <c r="S49" s="24" t="n">
        <f aca="false">S28/(S38*S45)</f>
        <v>1.27909810650888</v>
      </c>
      <c r="T49" s="24" t="n">
        <f aca="false">T28/(T38*T45)</f>
        <v>0.876480102040816</v>
      </c>
      <c r="U49" s="24" t="n">
        <f aca="false">U28/(U38*U45)</f>
        <v>0.481402823134199</v>
      </c>
      <c r="V49" s="43" t="n">
        <f aca="false">V28/SUMPRODUCT(R38:U38,R45:U45)</f>
        <v>0.82743579351493</v>
      </c>
    </row>
    <row r="50" customFormat="false" ht="15" hidden="false" customHeight="false" outlineLevel="0" collapsed="false">
      <c r="A50" s="8" t="s">
        <v>357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</row>
    <row r="51" customFormat="false" ht="15" hidden="false" customHeight="false" outlineLevel="0" collapsed="false">
      <c r="B51" s="6" t="s">
        <v>358</v>
      </c>
      <c r="C51" s="30" t="n">
        <f aca="false">Inputs!$C$24*Inputs!$C$19</f>
        <v>112500</v>
      </c>
      <c r="D51" s="30" t="n">
        <f aca="false">Inputs!$C$24*Inputs!$C$19</f>
        <v>112500</v>
      </c>
      <c r="E51" s="30" t="n">
        <f aca="false">Inputs!$C$24*Inputs!$C$19</f>
        <v>112500</v>
      </c>
      <c r="F51" s="30" t="n">
        <f aca="false">Inputs!$C$24*Inputs!$C$19</f>
        <v>112500</v>
      </c>
      <c r="G51" s="40"/>
      <c r="H51" s="30" t="n">
        <f aca="false">Inputs!$C$24*Inputs!$C$19</f>
        <v>112500</v>
      </c>
      <c r="I51" s="30" t="n">
        <f aca="false">Inputs!$C$24*Inputs!$C$19</f>
        <v>112500</v>
      </c>
      <c r="J51" s="30" t="n">
        <f aca="false">Inputs!$C$24*Inputs!$C$19</f>
        <v>112500</v>
      </c>
      <c r="K51" s="30" t="n">
        <f aca="false">Inputs!$C$24*Inputs!$C$19</f>
        <v>112500</v>
      </c>
      <c r="L51" s="40"/>
      <c r="M51" s="30" t="n">
        <f aca="false">Inputs!$C$24*Inputs!$C$19</f>
        <v>112500</v>
      </c>
      <c r="N51" s="30" t="n">
        <f aca="false">Inputs!$C$24*Inputs!$C$19</f>
        <v>112500</v>
      </c>
      <c r="O51" s="30" t="n">
        <f aca="false">Inputs!$C$24*Inputs!$C$19</f>
        <v>112500</v>
      </c>
      <c r="P51" s="30" t="n">
        <f aca="false">Inputs!$C$24*Inputs!$C$19</f>
        <v>112500</v>
      </c>
      <c r="Q51" s="40"/>
      <c r="R51" s="30" t="n">
        <f aca="false">Inputs!$C$24*Inputs!$C$19</f>
        <v>112500</v>
      </c>
      <c r="S51" s="30" t="n">
        <f aca="false">Inputs!$C$24*Inputs!$C$19</f>
        <v>112500</v>
      </c>
      <c r="T51" s="30" t="n">
        <f aca="false">Inputs!$C$24*Inputs!$C$19</f>
        <v>112500</v>
      </c>
      <c r="U51" s="30" t="n">
        <f aca="false">Inputs!$C$24*Inputs!$C$19</f>
        <v>112500</v>
      </c>
      <c r="V51" s="40"/>
    </row>
    <row r="52" customFormat="false" ht="15" hidden="false" customHeight="false" outlineLevel="0" collapsed="false">
      <c r="B52" s="6" t="s">
        <v>359</v>
      </c>
      <c r="C52" s="30" t="n">
        <f aca="false">Inputs!$C$37*Inputs!$C$19</f>
        <v>200000</v>
      </c>
      <c r="D52" s="30" t="n">
        <f aca="false">Inputs!$D$37*Inputs!$C$19</f>
        <v>237500</v>
      </c>
      <c r="E52" s="30" t="n">
        <f aca="false">Inputs!$E$37*Inputs!$C$19</f>
        <v>275000</v>
      </c>
      <c r="F52" s="30" t="n">
        <f aca="false">Inputs!$F$37*Inputs!$C$19</f>
        <v>375000</v>
      </c>
      <c r="G52" s="40"/>
      <c r="H52" s="30" t="n">
        <f aca="false">Inputs!$C$37*Inputs!$C$19</f>
        <v>200000</v>
      </c>
      <c r="I52" s="30" t="n">
        <f aca="false">Inputs!$D$37*Inputs!$C$19</f>
        <v>237500</v>
      </c>
      <c r="J52" s="30" t="n">
        <f aca="false">Inputs!$E$37*Inputs!$C$19</f>
        <v>275000</v>
      </c>
      <c r="K52" s="30" t="n">
        <f aca="false">Inputs!$F$37*Inputs!$C$19</f>
        <v>375000</v>
      </c>
      <c r="L52" s="40"/>
      <c r="M52" s="30" t="n">
        <f aca="false">Inputs!$C$37*Inputs!$C$19</f>
        <v>200000</v>
      </c>
      <c r="N52" s="30" t="n">
        <f aca="false">Inputs!$D$37*Inputs!$C$19</f>
        <v>237500</v>
      </c>
      <c r="O52" s="30" t="n">
        <f aca="false">Inputs!$E$37*Inputs!$C$19</f>
        <v>275000</v>
      </c>
      <c r="P52" s="30" t="n">
        <f aca="false">Inputs!$F$37*Inputs!$C$19</f>
        <v>375000</v>
      </c>
      <c r="Q52" s="40"/>
      <c r="R52" s="30" t="n">
        <f aca="false">Inputs!$C$37*Inputs!$C$19</f>
        <v>200000</v>
      </c>
      <c r="S52" s="30" t="n">
        <f aca="false">Inputs!$D$37*Inputs!$C$19</f>
        <v>237500</v>
      </c>
      <c r="T52" s="30" t="n">
        <f aca="false">Inputs!$E$37*Inputs!$C$19</f>
        <v>275000</v>
      </c>
      <c r="U52" s="30" t="n">
        <f aca="false">Inputs!$F$37*Inputs!$C$19</f>
        <v>375000</v>
      </c>
      <c r="V52" s="40"/>
    </row>
    <row r="53" customFormat="false" ht="15" hidden="false" customHeight="false" outlineLevel="0" collapsed="false">
      <c r="B53" s="6" t="s">
        <v>360</v>
      </c>
      <c r="C53" s="30" t="n">
        <f aca="false">Inputs!$C$38*Inputs!$C$19</f>
        <v>262500</v>
      </c>
      <c r="D53" s="30" t="n">
        <f aca="false">Inputs!$D$38*Inputs!$C$19</f>
        <v>262500</v>
      </c>
      <c r="E53" s="30" t="n">
        <f aca="false">Inputs!$E$38*Inputs!$C$19</f>
        <v>262500</v>
      </c>
      <c r="F53" s="30" t="n">
        <f aca="false">Inputs!$F$38*Inputs!$C$19</f>
        <v>300000</v>
      </c>
      <c r="G53" s="40"/>
      <c r="H53" s="30" t="n">
        <f aca="false">Inputs!$C$38*Inputs!$C$19</f>
        <v>262500</v>
      </c>
      <c r="I53" s="30" t="n">
        <f aca="false">Inputs!$D$38*Inputs!$C$19</f>
        <v>262500</v>
      </c>
      <c r="J53" s="30" t="n">
        <f aca="false">Inputs!$E$38*Inputs!$C$19</f>
        <v>262500</v>
      </c>
      <c r="K53" s="30" t="n">
        <f aca="false">Inputs!$F$38*Inputs!$C$19</f>
        <v>300000</v>
      </c>
      <c r="L53" s="40"/>
      <c r="M53" s="30" t="n">
        <f aca="false">Inputs!$C$38*Inputs!$C$19</f>
        <v>262500</v>
      </c>
      <c r="N53" s="30" t="n">
        <f aca="false">Inputs!$D$38*Inputs!$C$19</f>
        <v>262500</v>
      </c>
      <c r="O53" s="30" t="n">
        <f aca="false">Inputs!$E$38*Inputs!$C$19</f>
        <v>262500</v>
      </c>
      <c r="P53" s="30" t="n">
        <f aca="false">Inputs!$F$38*Inputs!$C$19</f>
        <v>300000</v>
      </c>
      <c r="Q53" s="40"/>
      <c r="R53" s="30" t="n">
        <f aca="false">Inputs!$C$38*Inputs!$C$19</f>
        <v>262500</v>
      </c>
      <c r="S53" s="30" t="n">
        <f aca="false">Inputs!$D$38*Inputs!$C$19</f>
        <v>262500</v>
      </c>
      <c r="T53" s="30" t="n">
        <f aca="false">Inputs!$E$38*Inputs!$C$19</f>
        <v>262500</v>
      </c>
      <c r="U53" s="30" t="n">
        <f aca="false">Inputs!$F$38*Inputs!$C$19</f>
        <v>300000</v>
      </c>
      <c r="V53" s="40"/>
    </row>
    <row r="54" customFormat="false" ht="15" hidden="false" customHeight="false" outlineLevel="0" collapsed="false">
      <c r="B54" s="6" t="s">
        <v>361</v>
      </c>
      <c r="C54" s="23" t="n">
        <f aca="false">C36*C51</f>
        <v>132125</v>
      </c>
      <c r="D54" s="23" t="n">
        <f aca="false">D36*D51</f>
        <v>173250</v>
      </c>
      <c r="E54" s="23" t="n">
        <f aca="false">E36*E51</f>
        <v>454928.571428571</v>
      </c>
      <c r="F54" s="23" t="n">
        <f aca="false">F36*F51</f>
        <v>309000</v>
      </c>
      <c r="G54" s="44" t="n">
        <f aca="false">SUM(C54:F54)</f>
        <v>1069303.57142857</v>
      </c>
      <c r="H54" s="23" t="n">
        <f aca="false">H36*H51</f>
        <v>155441.176470588</v>
      </c>
      <c r="I54" s="23" t="n">
        <f aca="false">I36*I51</f>
        <v>203823.529411765</v>
      </c>
      <c r="J54" s="23" t="n">
        <f aca="false">J36*J51</f>
        <v>535210.084033613</v>
      </c>
      <c r="K54" s="23" t="n">
        <f aca="false">K36*K51</f>
        <v>363529.411764706</v>
      </c>
      <c r="L54" s="44" t="n">
        <f aca="false">SUM(H54:K54)</f>
        <v>1258004.20168067</v>
      </c>
      <c r="M54" s="23" t="n">
        <f aca="false">M36*M51</f>
        <v>155441.176470588</v>
      </c>
      <c r="N54" s="23" t="n">
        <f aca="false">N36*N51</f>
        <v>203823.529411765</v>
      </c>
      <c r="O54" s="23" t="n">
        <f aca="false">O36*O51</f>
        <v>535210.084033613</v>
      </c>
      <c r="P54" s="23" t="n">
        <f aca="false">P36*P51</f>
        <v>363529.411764706</v>
      </c>
      <c r="Q54" s="44" t="n">
        <f aca="false">SUM(M54:P54)</f>
        <v>1258004.20168067</v>
      </c>
      <c r="R54" s="23" t="n">
        <f aca="false">R36*R51</f>
        <v>152205.882352941</v>
      </c>
      <c r="S54" s="23" t="n">
        <f aca="false">S36*S51</f>
        <v>253455.882352941</v>
      </c>
      <c r="T54" s="23" t="n">
        <f aca="false">T36*T51</f>
        <v>593697.478991597</v>
      </c>
      <c r="U54" s="23" t="n">
        <f aca="false">U36*U51</f>
        <v>425647.058823529</v>
      </c>
      <c r="V54" s="44" t="n">
        <f aca="false">SUM(R54:U54)</f>
        <v>1425006.30252101</v>
      </c>
    </row>
    <row r="55" customFormat="false" ht="15" hidden="false" customHeight="false" outlineLevel="0" collapsed="false">
      <c r="B55" s="6" t="s">
        <v>362</v>
      </c>
      <c r="C55" s="23" t="n">
        <f aca="false">C38*C52</f>
        <v>578166.918224389</v>
      </c>
      <c r="D55" s="23" t="n">
        <f aca="false">D38*D52</f>
        <v>882657.779906343</v>
      </c>
      <c r="E55" s="23" t="n">
        <f aca="false">E38*E52</f>
        <v>2541899.49851602</v>
      </c>
      <c r="F55" s="23" t="n">
        <f aca="false">F38*F52</f>
        <v>2041666.66666667</v>
      </c>
      <c r="G55" s="44" t="n">
        <f aca="false">SUM(C55:F55)</f>
        <v>6044390.86331342</v>
      </c>
      <c r="H55" s="23" t="n">
        <f aca="false">H38*H52</f>
        <v>696340.46118157</v>
      </c>
      <c r="I55" s="23" t="n">
        <f aca="false">I38*I52</f>
        <v>1064750.33180577</v>
      </c>
      <c r="J55" s="23" t="n">
        <f aca="false">J38*J52</f>
        <v>3042214.5063122</v>
      </c>
      <c r="K55" s="23" t="n">
        <f aca="false">K38*K52</f>
        <v>2401960.78431373</v>
      </c>
      <c r="L55" s="44" t="n">
        <f aca="false">SUM(H55:K55)</f>
        <v>7205266.08361327</v>
      </c>
      <c r="M55" s="23" t="n">
        <f aca="false">M38*M52</f>
        <v>728628.634781441</v>
      </c>
      <c r="N55" s="23" t="n">
        <f aca="false">N38*N52</f>
        <v>1117409.16034358</v>
      </c>
      <c r="O55" s="23" t="n">
        <f aca="false">O38*O52</f>
        <v>3145703.52242831</v>
      </c>
      <c r="P55" s="23" t="n">
        <f aca="false">P38*P52</f>
        <v>2401960.78431373</v>
      </c>
      <c r="Q55" s="44" t="n">
        <f aca="false">SUM(M55:P55)</f>
        <v>7393702.10186706</v>
      </c>
      <c r="R55" s="23" t="n">
        <f aca="false">R38*R52</f>
        <v>691372.139242322</v>
      </c>
      <c r="S55" s="23" t="n">
        <f aca="false">S38*S52</f>
        <v>1300144.93025818</v>
      </c>
      <c r="T55" s="23" t="n">
        <f aca="false">T38*T52</f>
        <v>3330026.05248424</v>
      </c>
      <c r="U55" s="23" t="n">
        <f aca="false">U38*U52</f>
        <v>3088235.29411765</v>
      </c>
      <c r="V55" s="44" t="n">
        <f aca="false">SUM(R55:U55)</f>
        <v>8409778.41610239</v>
      </c>
    </row>
    <row r="56" customFormat="false" ht="15" hidden="false" customHeight="false" outlineLevel="0" collapsed="false">
      <c r="B56" s="6" t="s">
        <v>363</v>
      </c>
      <c r="C56" s="23" t="n">
        <f aca="false">C42*C53</f>
        <v>56913.3060127133</v>
      </c>
      <c r="D56" s="23" t="n">
        <f aca="false">D42*D53</f>
        <v>146335.368773946</v>
      </c>
      <c r="E56" s="23" t="n">
        <f aca="false">E42*E53</f>
        <v>808786.204073278</v>
      </c>
      <c r="F56" s="23" t="n">
        <f aca="false">F42*F53</f>
        <v>1176000</v>
      </c>
      <c r="G56" s="44" t="n">
        <f aca="false">SUM(C56:F56)</f>
        <v>2188034.87885994</v>
      </c>
      <c r="H56" s="23" t="n">
        <f aca="false">H42*H53</f>
        <v>68546.0141475608</v>
      </c>
      <c r="I56" s="23" t="n">
        <f aca="false">I42*I53</f>
        <v>176524.397115168</v>
      </c>
      <c r="J56" s="23" t="n">
        <f aca="false">J42*J53</f>
        <v>967977.342917517</v>
      </c>
      <c r="K56" s="23" t="n">
        <f aca="false">K42*K53</f>
        <v>1383529.41176471</v>
      </c>
      <c r="L56" s="44" t="n">
        <f aca="false">SUM(H56:K56)</f>
        <v>2596577.16594495</v>
      </c>
      <c r="M56" s="23" t="n">
        <f aca="false">M42*M53</f>
        <v>71724.3812362981</v>
      </c>
      <c r="N56" s="23" t="n">
        <f aca="false">N42*N53</f>
        <v>185254.676583277</v>
      </c>
      <c r="O56" s="23" t="n">
        <f aca="false">O42*O53</f>
        <v>1000905.66622719</v>
      </c>
      <c r="P56" s="23" t="n">
        <f aca="false">P42*P53</f>
        <v>1383529.41176471</v>
      </c>
      <c r="Q56" s="44" t="n">
        <f aca="false">SUM(M56:P56)</f>
        <v>2641414.13581147</v>
      </c>
      <c r="R56" s="23" t="n">
        <f aca="false">R42*R53</f>
        <v>68056.9449566661</v>
      </c>
      <c r="S56" s="23" t="n">
        <f aca="false">S42*S53</f>
        <v>215550.343700699</v>
      </c>
      <c r="T56" s="23" t="n">
        <f aca="false">T42*T53</f>
        <v>1059553.74397226</v>
      </c>
      <c r="U56" s="23" t="n">
        <f aca="false">U42*U53</f>
        <v>1778823.52941176</v>
      </c>
      <c r="V56" s="44" t="n">
        <f aca="false">SUM(R56:U56)</f>
        <v>3121984.56204139</v>
      </c>
    </row>
    <row r="57" customFormat="false" ht="15" hidden="false" customHeight="false" outlineLevel="0" collapsed="false">
      <c r="B57" s="6" t="s">
        <v>364</v>
      </c>
      <c r="C57" s="23" t="n">
        <f aca="false">C54+C55+C56</f>
        <v>767205.224237103</v>
      </c>
      <c r="D57" s="23" t="n">
        <f aca="false">D54+D55+D56</f>
        <v>1202243.14868029</v>
      </c>
      <c r="E57" s="23" t="n">
        <f aca="false">E54+E55+E56</f>
        <v>3805614.27401787</v>
      </c>
      <c r="F57" s="23" t="n">
        <f aca="false">F54+F55+F56</f>
        <v>3526666.66666667</v>
      </c>
      <c r="G57" s="44" t="n">
        <f aca="false">SUM(C57:F57)</f>
        <v>9301729.31360193</v>
      </c>
      <c r="H57" s="23" t="n">
        <f aca="false">H54+H55+H56</f>
        <v>920327.651799719</v>
      </c>
      <c r="I57" s="23" t="n">
        <f aca="false">I54+I55+I56</f>
        <v>1445098.25833271</v>
      </c>
      <c r="J57" s="23" t="n">
        <f aca="false">J54+J55+J56</f>
        <v>4545401.93326333</v>
      </c>
      <c r="K57" s="23" t="n">
        <f aca="false">K54+K55+K56</f>
        <v>4149019.60784314</v>
      </c>
      <c r="L57" s="44" t="n">
        <f aca="false">SUM(H57:K57)</f>
        <v>11059847.4512389</v>
      </c>
      <c r="M57" s="23" t="n">
        <f aca="false">M54+M55+M56</f>
        <v>955794.192488327</v>
      </c>
      <c r="N57" s="23" t="n">
        <f aca="false">N54+N55+N56</f>
        <v>1506487.36633862</v>
      </c>
      <c r="O57" s="23" t="n">
        <f aca="false">O54+O55+O56</f>
        <v>4681819.27268912</v>
      </c>
      <c r="P57" s="23" t="n">
        <f aca="false">P54+P55+P56</f>
        <v>4149019.60784314</v>
      </c>
      <c r="Q57" s="44" t="n">
        <f aca="false">SUM(M57:P57)</f>
        <v>11293120.4393592</v>
      </c>
      <c r="R57" s="23" t="n">
        <f aca="false">R54+R55+R56</f>
        <v>911634.966551929</v>
      </c>
      <c r="S57" s="23" t="n">
        <f aca="false">S54+S55+S56</f>
        <v>1769151.15631182</v>
      </c>
      <c r="T57" s="23" t="n">
        <f aca="false">T54+T55+T56</f>
        <v>4983277.2754481</v>
      </c>
      <c r="U57" s="23" t="n">
        <f aca="false">U54+U55+U56</f>
        <v>5292705.88235294</v>
      </c>
      <c r="V57" s="44" t="n">
        <f aca="false">SUM(R57:U57)</f>
        <v>12956769.2806648</v>
      </c>
    </row>
    <row r="58" customFormat="false" ht="15" hidden="false" customHeight="false" outlineLevel="0" collapsed="false">
      <c r="B58" s="6" t="s">
        <v>365</v>
      </c>
      <c r="C58" s="32" t="n">
        <f aca="false">C28/C57</f>
        <v>1.59135365119781</v>
      </c>
      <c r="D58" s="32" t="n">
        <f aca="false">D28/D57</f>
        <v>2.17989581466836</v>
      </c>
      <c r="E58" s="32" t="n">
        <f aca="false">E28/E57</f>
        <v>1.04074709508818</v>
      </c>
      <c r="F58" s="32" t="n">
        <f aca="false">F28/F57</f>
        <v>0.501329405261081</v>
      </c>
      <c r="G58" s="46" t="n">
        <f aca="false">G28/G57</f>
        <v>1.0288800096665</v>
      </c>
      <c r="H58" s="32" t="n">
        <f aca="false">H28/H57</f>
        <v>1.77773563145151</v>
      </c>
      <c r="I58" s="32" t="n">
        <f aca="false">I28/I57</f>
        <v>2.43415988273077</v>
      </c>
      <c r="J58" s="32" t="n">
        <f aca="false">J28/J57</f>
        <v>1.16035836938935</v>
      </c>
      <c r="K58" s="32" t="n">
        <f aca="false">K28/K57</f>
        <v>0.583714538148204</v>
      </c>
      <c r="L58" s="46" t="n">
        <f aca="false">L28/L57</f>
        <v>1.16184583580972</v>
      </c>
      <c r="M58" s="32" t="n">
        <f aca="false">M28/M57</f>
        <v>1.79114136901374</v>
      </c>
      <c r="N58" s="32" t="n">
        <f aca="false">N28/N57</f>
        <v>2.45044764168663</v>
      </c>
      <c r="O58" s="32" t="n">
        <f aca="false">O28/O57</f>
        <v>1.16487075501075</v>
      </c>
      <c r="P58" s="32" t="n">
        <f aca="false">P28/P57</f>
        <v>0.609619227525142</v>
      </c>
      <c r="Q58" s="46" t="n">
        <f aca="false">Q28/Q57</f>
        <v>1.18537365148166</v>
      </c>
      <c r="R58" s="32" t="n">
        <f aca="false">R28/R57</f>
        <v>1.91454806973754</v>
      </c>
      <c r="S58" s="32" t="n">
        <f aca="false">S28/S57</f>
        <v>2.5726483351383</v>
      </c>
      <c r="T58" s="32" t="n">
        <f aca="false">T28/T57</f>
        <v>1.27788919020019</v>
      </c>
      <c r="U58" s="32" t="n">
        <f aca="false">U28/U57</f>
        <v>0.674143724047625</v>
      </c>
      <c r="V58" s="46" t="n">
        <f aca="false">V28/V57</f>
        <v>1.25285038319842</v>
      </c>
    </row>
    <row r="59" customFormat="false" ht="15" hidden="false" customHeight="false" outlineLevel="0" collapsed="false">
      <c r="B59" s="6" t="s">
        <v>366</v>
      </c>
      <c r="C59" s="47" t="n">
        <f aca="false">C57/(C28*Inputs!$C$20/12)</f>
        <v>9.42593746444075</v>
      </c>
      <c r="D59" s="47" t="n">
        <f aca="false">D57/(D28*Inputs!$C$20/12)</f>
        <v>6.88106280083024</v>
      </c>
      <c r="E59" s="47" t="n">
        <f aca="false">E57/(E28*Inputs!$C$20/12)</f>
        <v>14.4127233895658</v>
      </c>
      <c r="F59" s="47" t="n">
        <f aca="false">F57/(F28*Inputs!$C$20/12)</f>
        <v>29.9204472001564</v>
      </c>
      <c r="G59" s="48" t="n">
        <f aca="false">G57/(G28*Inputs!$C$20/12)</f>
        <v>14.578959508468</v>
      </c>
      <c r="H59" s="47" t="n">
        <f aca="false">H57/(H28*Inputs!$C$20/12)</f>
        <v>8.43770003515796</v>
      </c>
      <c r="I59" s="47" t="n">
        <f aca="false">I57/(I28*Inputs!$C$20/12)</f>
        <v>6.16229036819561</v>
      </c>
      <c r="J59" s="47" t="n">
        <f aca="false">J57/(J28*Inputs!$C$20/12)</f>
        <v>12.9270408140323</v>
      </c>
      <c r="K59" s="47" t="n">
        <f aca="false">K57/(K28*Inputs!$C$20/12)</f>
        <v>25.6974925578974</v>
      </c>
      <c r="L59" s="48" t="n">
        <f aca="false">L57/(L28*Inputs!$C$20/12)</f>
        <v>12.9104908221719</v>
      </c>
      <c r="M59" s="47" t="n">
        <f aca="false">M57/(M28*Inputs!$C$20/12)</f>
        <v>8.37454835195921</v>
      </c>
      <c r="N59" s="47" t="n">
        <f aca="false">N57/(N28*Inputs!$C$20/12)</f>
        <v>6.1213305458245</v>
      </c>
      <c r="O59" s="47" t="n">
        <f aca="false">O57/(O28*Inputs!$C$20/12)</f>
        <v>12.8769650499653</v>
      </c>
      <c r="P59" s="47" t="n">
        <f aca="false">P57/(P28*Inputs!$C$20/12)</f>
        <v>24.6055231244841</v>
      </c>
      <c r="Q59" s="48" t="n">
        <f aca="false">Q57/(Q28*Inputs!$C$20/12)</f>
        <v>12.6542377428845</v>
      </c>
      <c r="R59" s="47" t="n">
        <f aca="false">R57/(R28*Inputs!$C$20/12)</f>
        <v>7.83474713280838</v>
      </c>
      <c r="S59" s="47" t="n">
        <f aca="false">S57/(S28*Inputs!$C$20/12)</f>
        <v>5.83056758870763</v>
      </c>
      <c r="T59" s="47" t="n">
        <f aca="false">T57/(T28*Inputs!$C$20/12)</f>
        <v>11.73810696188</v>
      </c>
      <c r="U59" s="47" t="n">
        <f aca="false">U57/(U28*Inputs!$C$20/12)</f>
        <v>22.2504481832725</v>
      </c>
      <c r="V59" s="48" t="n">
        <f aca="false">V57/(V28*Inputs!$C$20/12)</f>
        <v>11.9726985769093</v>
      </c>
    </row>
    <row r="60" customFormat="false" ht="15" hidden="false" customHeight="false" outlineLevel="0" collapsed="false">
      <c r="B60" s="6" t="s">
        <v>367</v>
      </c>
      <c r="C60" s="23" t="n">
        <f aca="false">C28/C43</f>
        <v>285116.466514311</v>
      </c>
      <c r="D60" s="23" t="n">
        <f aca="false">D28/D43</f>
        <v>450773.997547642</v>
      </c>
      <c r="E60" s="23" t="n">
        <f aca="false">E28/E43</f>
        <v>241974.626630506</v>
      </c>
      <c r="F60" s="23" t="n">
        <f aca="false">F28/F43</f>
        <v>145983.443330153</v>
      </c>
      <c r="G60" s="44" t="n">
        <f aca="false">G28/G43</f>
        <v>248095.659642093</v>
      </c>
      <c r="H60" s="23" t="n">
        <f aca="false">H28/H43</f>
        <v>319268.201110875</v>
      </c>
      <c r="I60" s="23" t="n">
        <f aca="false">I28/I43</f>
        <v>504865.699050286</v>
      </c>
      <c r="J60" s="23" t="n">
        <f aca="false">J28/J43</f>
        <v>270371.939000453</v>
      </c>
      <c r="K60" s="23" t="n">
        <f aca="false">K28/K43</f>
        <v>169973.389365358</v>
      </c>
      <c r="L60" s="44" t="n">
        <f aca="false">L28/L43</f>
        <v>280271.343320544</v>
      </c>
      <c r="M60" s="23" t="n">
        <f aca="false">M28/M43</f>
        <v>323128.960152491</v>
      </c>
      <c r="N60" s="23" t="n">
        <f aca="false">N28/N43</f>
        <v>511129.253923786</v>
      </c>
      <c r="O60" s="23" t="n">
        <f aca="false">O28/O43</f>
        <v>272558.721055689</v>
      </c>
      <c r="P60" s="23" t="n">
        <f aca="false">P28/P43</f>
        <v>177516.644785761</v>
      </c>
      <c r="Q60" s="44" t="n">
        <f aca="false">Q28/Q43</f>
        <v>286171.430570097</v>
      </c>
      <c r="R60" s="23" t="n">
        <f aca="false">R28/R43</f>
        <v>344317.635481042</v>
      </c>
      <c r="S60" s="23" t="n">
        <f aca="false">S28/S43</f>
        <v>532428.821689943</v>
      </c>
      <c r="T60" s="23" t="n">
        <f aca="false">T28/T43</f>
        <v>297255.675191064</v>
      </c>
      <c r="U60" s="23" t="n">
        <f aca="false">U28/U43</f>
        <v>198796.393926682</v>
      </c>
      <c r="V60" s="44" t="n">
        <f aca="false">V28/V43</f>
        <v>306347.054664717</v>
      </c>
    </row>
    <row r="61" customFormat="false" ht="15" hidden="false" customHeight="false" outlineLevel="0" collapsed="false">
      <c r="A61" s="8" t="s">
        <v>368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</row>
    <row r="62" customFormat="false" ht="15" hidden="false" customHeight="false" outlineLevel="0" collapsed="false">
      <c r="B62" s="6" t="s">
        <v>369</v>
      </c>
      <c r="C62" s="29" t="n">
        <f aca="false">C8*C9/(C37*C34)</f>
        <v>2.82222222222222</v>
      </c>
      <c r="D62" s="29" t="n">
        <f aca="false">D8*D9/(D37*D34)</f>
        <v>3.62222222222222</v>
      </c>
      <c r="E62" s="29" t="n">
        <f aca="false">E8*E9/(E37*E34)</f>
        <v>9.08333333333333</v>
      </c>
      <c r="F62" s="29" t="n">
        <f aca="false">F8*F9/(F37*F34)</f>
        <v>5.44444444444444</v>
      </c>
      <c r="G62" s="45" t="n">
        <f aca="false">SUM(C62:F62)</f>
        <v>20.9722222222222</v>
      </c>
      <c r="H62" s="29" t="n">
        <f aca="false">H8*H9/(H37*H34)</f>
        <v>3.3202614379085</v>
      </c>
      <c r="I62" s="29" t="n">
        <f aca="false">I8*I9/(I37*I34)</f>
        <v>4.26143790849673</v>
      </c>
      <c r="J62" s="29" t="n">
        <f aca="false">J8*J9/(J37*J34)</f>
        <v>10.6862745098039</v>
      </c>
      <c r="K62" s="29" t="n">
        <f aca="false">K8*K9/(K37*K34)</f>
        <v>6.40522875816994</v>
      </c>
      <c r="L62" s="45" t="n">
        <f aca="false">SUM(H62:K62)</f>
        <v>24.6732026143791</v>
      </c>
      <c r="M62" s="29" t="n">
        <f aca="false">M8*M9/(M37*M34)</f>
        <v>3.3202614379085</v>
      </c>
      <c r="N62" s="29" t="n">
        <f aca="false">N8*N9/(N37*N34)</f>
        <v>4.26143790849673</v>
      </c>
      <c r="O62" s="29" t="n">
        <f aca="false">O8*O9/(O37*O34)</f>
        <v>10.6862745098039</v>
      </c>
      <c r="P62" s="29" t="n">
        <f aca="false">P8*P9/(P37*P34)</f>
        <v>6.40522875816994</v>
      </c>
      <c r="Q62" s="45" t="n">
        <f aca="false">SUM(M62:P62)</f>
        <v>24.6732026143791</v>
      </c>
      <c r="R62" s="29" t="n">
        <f aca="false">R8*R9/(R37*R34)</f>
        <v>3.34640522875817</v>
      </c>
      <c r="S62" s="29" t="n">
        <f aca="false">S8*S9/(S37*S34)</f>
        <v>5.09803921568627</v>
      </c>
      <c r="T62" s="29" t="n">
        <f aca="false">T8*T9/(T37*T34)</f>
        <v>11.5294117647059</v>
      </c>
      <c r="U62" s="29" t="n">
        <f aca="false">U8*U9/(U37*U34)</f>
        <v>8.23529411764706</v>
      </c>
      <c r="V62" s="45" t="n">
        <f aca="false">SUM(R62:U62)</f>
        <v>28.2091503267974</v>
      </c>
    </row>
    <row r="63" customFormat="false" ht="15" hidden="false" customHeight="false" outlineLevel="0" collapsed="false">
      <c r="B63" s="6" t="s">
        <v>370</v>
      </c>
      <c r="C63" s="29" t="n">
        <f aca="false">C8*C9*C39/(C40*C34)</f>
        <v>0.211666666666667</v>
      </c>
      <c r="D63" s="29" t="n">
        <f aca="false">D8*D9*D39/(D40*D34)</f>
        <v>0.543333333333333</v>
      </c>
      <c r="E63" s="29" t="n">
        <f aca="false">E8*E9*E39/(E40*E34)</f>
        <v>3.02777777777778</v>
      </c>
      <c r="F63" s="29" t="n">
        <f aca="false">F8*F9*F39/(F40*F34)</f>
        <v>3.26666666666667</v>
      </c>
      <c r="G63" s="45" t="n">
        <f aca="false">SUM(C63:F63)</f>
        <v>7.04944444444444</v>
      </c>
      <c r="H63" s="29" t="n">
        <f aca="false">H8*H9*H39/(H40*H34)</f>
        <v>0.249019607843137</v>
      </c>
      <c r="I63" s="29" t="n">
        <f aca="false">I8*I9*I39/(I40*I34)</f>
        <v>0.63921568627451</v>
      </c>
      <c r="J63" s="29" t="n">
        <f aca="false">J8*J9*J39/(J40*J34)</f>
        <v>3.56209150326797</v>
      </c>
      <c r="K63" s="29" t="n">
        <f aca="false">K8*K9*K39/(K40*K34)</f>
        <v>3.84313725490196</v>
      </c>
      <c r="L63" s="45" t="n">
        <f aca="false">SUM(H63:K63)</f>
        <v>8.29346405228758</v>
      </c>
      <c r="M63" s="29" t="n">
        <f aca="false">M8*M9*M39/(M40*M34)</f>
        <v>0.249019607843137</v>
      </c>
      <c r="N63" s="29" t="n">
        <f aca="false">N8*N9*N39/(N40*N34)</f>
        <v>0.63921568627451</v>
      </c>
      <c r="O63" s="29" t="n">
        <f aca="false">O8*O9*O39/(O40*O34)</f>
        <v>3.56209150326797</v>
      </c>
      <c r="P63" s="29" t="n">
        <f aca="false">P8*P9*P39/(P40*P34)</f>
        <v>3.84313725490196</v>
      </c>
      <c r="Q63" s="45" t="n">
        <f aca="false">SUM(M63:P63)</f>
        <v>8.29346405228758</v>
      </c>
      <c r="R63" s="29" t="n">
        <f aca="false">R8*R9*R39/(R40*R34)</f>
        <v>0.250980392156863</v>
      </c>
      <c r="S63" s="29" t="n">
        <f aca="false">S8*S9*S39/(S40*S34)</f>
        <v>0.764705882352941</v>
      </c>
      <c r="T63" s="29" t="n">
        <f aca="false">T8*T9*T39/(T40*T34)</f>
        <v>3.84313725490196</v>
      </c>
      <c r="U63" s="29" t="n">
        <f aca="false">U8*U9*U39/(U40*U34)</f>
        <v>4.94117647058824</v>
      </c>
      <c r="V63" s="45" t="n">
        <f aca="false">SUM(R63:U63)</f>
        <v>9.8</v>
      </c>
    </row>
    <row r="64" customFormat="false" ht="15" hidden="false" customHeight="false" outlineLevel="0" collapsed="false">
      <c r="B64" s="6" t="s">
        <v>371</v>
      </c>
      <c r="C64" s="29" t="n">
        <f aca="false">C38-C62+C42-C63</f>
        <v>0.0737582965672042</v>
      </c>
      <c r="D64" s="29" t="n">
        <f aca="false">D38-D62+D42-D63</f>
        <v>0.108366326096211</v>
      </c>
      <c r="E64" s="29" t="n">
        <f aca="false">E38-E62+E42-E63</f>
        <v>0.213250093815034</v>
      </c>
      <c r="F64" s="29" t="n">
        <f aca="false">F38-F62+F42-F63</f>
        <v>0.653333333333333</v>
      </c>
      <c r="G64" s="45" t="n">
        <f aca="false">SUM(C64:F64)</f>
        <v>1.04870804981178</v>
      </c>
      <c r="H64" s="29" t="n">
        <f aca="false">H38-H62+H42-H63</f>
        <v>0.173548933099305</v>
      </c>
      <c r="I64" s="29" t="n">
        <f aca="false">I38-I62+I42-I63</f>
        <v>0.254979590814615</v>
      </c>
      <c r="J64" s="29" t="n">
        <f aca="false">J38-J62+J42-J63</f>
        <v>0.501764926623599</v>
      </c>
      <c r="K64" s="29" t="n">
        <f aca="false">K38-K62+K42-K63</f>
        <v>0.768627450980392</v>
      </c>
      <c r="L64" s="45" t="n">
        <f aca="false">SUM(H64:K64)</f>
        <v>1.69892090151791</v>
      </c>
      <c r="M64" s="29" t="n">
        <f aca="false">M38-M62+M42-M63</f>
        <v>0.347097866198609</v>
      </c>
      <c r="N64" s="29" t="n">
        <f aca="false">N38-N62+N42-N63</f>
        <v>0.50995918162923</v>
      </c>
      <c r="O64" s="29" t="n">
        <f aca="false">O38-O62+O42-O63</f>
        <v>1.0035298532472</v>
      </c>
      <c r="P64" s="29" t="n">
        <f aca="false">P38-P62+P42-P63</f>
        <v>0.768627450980392</v>
      </c>
      <c r="Q64" s="45" t="n">
        <f aca="false">SUM(M64:P64)</f>
        <v>2.62921435205543</v>
      </c>
      <c r="R64" s="29" t="n">
        <f aca="false">R38-R62+R42-R63</f>
        <v>0.118739627512447</v>
      </c>
      <c r="S64" s="29" t="n">
        <f aca="false">S38-S62+S42-S63</f>
        <v>0.432693511631983</v>
      </c>
      <c r="T64" s="29" t="n">
        <f aca="false">T38-T62+T42-T63</f>
        <v>0.773031840921815</v>
      </c>
      <c r="U64" s="29" t="n">
        <f aca="false">U38-U62+U42-U63</f>
        <v>0.988235294117647</v>
      </c>
      <c r="V64" s="45" t="n">
        <f aca="false">SUM(R64:U64)</f>
        <v>2.31270027418389</v>
      </c>
    </row>
    <row r="65" customFormat="false" ht="15" hidden="false" customHeight="false" outlineLevel="0" collapsed="false">
      <c r="B65" s="6" t="s">
        <v>372</v>
      </c>
      <c r="C65" s="23" t="n">
        <f aca="false">(C38-C62)*C52+(C42-C63)*C53</f>
        <v>15073.2797926583</v>
      </c>
      <c r="D65" s="23" t="n">
        <f aca="false">(D38-D62)*D52+(D42-D63)*D53</f>
        <v>26090.3709025118</v>
      </c>
      <c r="E65" s="23" t="n">
        <f aca="false">(E38-E62)*E52+(E42-E63)*E53</f>
        <v>57977.3692559623</v>
      </c>
      <c r="F65" s="23" t="n">
        <f aca="false">(F38-F62)*F52+(F42-F63)*F53</f>
        <v>196000</v>
      </c>
      <c r="G65" s="44" t="n">
        <f aca="false">SUM(C65:F65)</f>
        <v>295141.019951132</v>
      </c>
      <c r="H65" s="23" t="n">
        <f aca="false">(H38-H62)*H52+(H42-H63)*H53</f>
        <v>35466.5406886079</v>
      </c>
      <c r="I65" s="23" t="n">
        <f aca="false">(I38-I62)*I52+(I42-I63)*I53</f>
        <v>61389.1080059099</v>
      </c>
      <c r="J65" s="23" t="n">
        <f aca="false">(J38-J62)*J52+(J42-J63)*J53</f>
        <v>136417.339425791</v>
      </c>
      <c r="K65" s="23" t="n">
        <f aca="false">(K38-K62)*K52+(K42-K63)*K53</f>
        <v>230588.235294118</v>
      </c>
      <c r="L65" s="44" t="n">
        <f aca="false">SUM(H65:K65)</f>
        <v>463861.223414426</v>
      </c>
      <c r="M65" s="23" t="n">
        <f aca="false">(M38-M62)*M52+(M42-M63)*M53</f>
        <v>70933.0813772158</v>
      </c>
      <c r="N65" s="23" t="n">
        <f aca="false">(N38-N62)*N52+(N42-N63)*N53</f>
        <v>122778.21601182</v>
      </c>
      <c r="O65" s="23" t="n">
        <f aca="false">(O38-O62)*O52+(O42-O63)*O53</f>
        <v>272834.678851583</v>
      </c>
      <c r="P65" s="23" t="n">
        <f aca="false">(P38-P62)*P52+(P42-P63)*P53</f>
        <v>230588.235294118</v>
      </c>
      <c r="Q65" s="44" t="n">
        <f aca="false">SUM(M65:P65)</f>
        <v>697134.211534736</v>
      </c>
      <c r="R65" s="23" t="n">
        <f aca="false">(R38-R62)*R52+(R42-R63)*R53</f>
        <v>24265.6855061775</v>
      </c>
      <c r="S65" s="23" t="n">
        <f aca="false">(S38-S62)*S52+(S42-S63)*S53</f>
        <v>104175.666115744</v>
      </c>
      <c r="T65" s="23" t="n">
        <f aca="false">(T38-T62)*T52+(T42-T63)*T53</f>
        <v>210168.031750618</v>
      </c>
      <c r="U65" s="23" t="n">
        <f aca="false">(U38-U62)*U52+(U42-U63)*U53</f>
        <v>296470.588235294</v>
      </c>
      <c r="V65" s="44" t="n">
        <f aca="false">SUM(R65:U65)</f>
        <v>635079.971607834</v>
      </c>
    </row>
    <row r="66" customFormat="false" ht="15" hidden="false" customHeight="false" outlineLevel="0" collapsed="false">
      <c r="B66" s="6" t="s">
        <v>373</v>
      </c>
      <c r="C66" s="23" t="n">
        <f aca="false">C30+C31</f>
        <v>28977.2673437835</v>
      </c>
      <c r="D66" s="23" t="n">
        <f aca="false">D30+D31</f>
        <v>66450.1274641487</v>
      </c>
      <c r="E66" s="23" t="n">
        <f aca="false">E30+E31</f>
        <v>68532.2179526314</v>
      </c>
      <c r="F66" s="23" t="n">
        <f aca="false">F30+F31</f>
        <v>0</v>
      </c>
      <c r="G66" s="44" t="n">
        <f aca="false">SUM(C66:F66)</f>
        <v>163959.612760564</v>
      </c>
      <c r="H66" s="23" t="n">
        <f aca="false">H30+H31</f>
        <v>75863.2592144633</v>
      </c>
      <c r="I66" s="23" t="n">
        <f aca="false">I30+I31</f>
        <v>173968.207037586</v>
      </c>
      <c r="J66" s="23" t="n">
        <f aca="false">J30+J31</f>
        <v>179419.175500614</v>
      </c>
      <c r="K66" s="23" t="n">
        <f aca="false">K30+K31</f>
        <v>107479.06416</v>
      </c>
      <c r="L66" s="44" t="n">
        <f aca="false">SUM(H66:K66)</f>
        <v>536729.705912663</v>
      </c>
      <c r="M66" s="23" t="n">
        <f aca="false">M30+M31</f>
        <v>151726.518428927</v>
      </c>
      <c r="N66" s="23" t="n">
        <f aca="false">N30+N31</f>
        <v>347936.414075171</v>
      </c>
      <c r="O66" s="23" t="n">
        <f aca="false">O30+O31</f>
        <v>358838.35100123</v>
      </c>
      <c r="P66" s="23" t="n">
        <f aca="false">P30+P31</f>
        <v>214958.12832</v>
      </c>
      <c r="Q66" s="44" t="n">
        <f aca="false">SUM(M66:P66)</f>
        <v>1073459.41182533</v>
      </c>
      <c r="R66" s="23" t="n">
        <f aca="false">R30+R31</f>
        <v>55768.9655172415</v>
      </c>
      <c r="S66" s="23" t="n">
        <f aca="false">S30+S31</f>
        <v>312823.776893604</v>
      </c>
      <c r="T66" s="23" t="n">
        <f aca="false">T30+T31</f>
        <v>304896.162065379</v>
      </c>
      <c r="U66" s="23" t="n">
        <f aca="false">U30+U31</f>
        <v>150972.453818182</v>
      </c>
      <c r="V66" s="44" t="n">
        <f aca="false">SUM(R66:U66)</f>
        <v>824461.358294407</v>
      </c>
    </row>
    <row r="67" customFormat="false" ht="15" hidden="false" customHeight="false" outlineLevel="0" collapsed="false">
      <c r="B67" s="6" t="s">
        <v>374</v>
      </c>
      <c r="C67" s="23" t="n">
        <f aca="false">IFERROR(C66/C64,0)</f>
        <v>392867.903577209</v>
      </c>
      <c r="D67" s="23" t="n">
        <f aca="false">IFERROR(D66/D64,0)</f>
        <v>613199.043078677</v>
      </c>
      <c r="E67" s="23" t="n">
        <f aca="false">IFERROR(E66/E64,0)</f>
        <v>321370.165548785</v>
      </c>
      <c r="F67" s="23" t="n">
        <f aca="false">IFERROR(F66/F64,0)</f>
        <v>0</v>
      </c>
      <c r="G67" s="44" t="n">
        <f aca="false">IFERROR(G66/G64,0)</f>
        <v>156344.382776494</v>
      </c>
      <c r="H67" s="23" t="n">
        <f aca="false">IFERROR(H66/H64,0)</f>
        <v>437128.928767626</v>
      </c>
      <c r="I67" s="23" t="n">
        <f aca="false">IFERROR(I66/I64,0)</f>
        <v>682282.870098694</v>
      </c>
      <c r="J67" s="23" t="n">
        <f aca="false">IFERROR(J66/J64,0)</f>
        <v>357576.159633028</v>
      </c>
      <c r="K67" s="23" t="n">
        <f aca="false">IFERROR(K66/K64,0)</f>
        <v>139832.455922449</v>
      </c>
      <c r="L67" s="44" t="n">
        <f aca="false">IFERROR(L66/L64,0)</f>
        <v>315923.893474452</v>
      </c>
      <c r="M67" s="23" t="n">
        <f aca="false">IFERROR(M66/M64,0)</f>
        <v>437128.928767626</v>
      </c>
      <c r="N67" s="23" t="n">
        <f aca="false">IFERROR(N66/N64,0)</f>
        <v>682282.870098693</v>
      </c>
      <c r="O67" s="23" t="n">
        <f aca="false">IFERROR(O66/O64,0)</f>
        <v>357576.159633027</v>
      </c>
      <c r="P67" s="23" t="n">
        <f aca="false">IFERROR(P66/P64,0)</f>
        <v>279664.911844898</v>
      </c>
      <c r="Q67" s="44" t="n">
        <f aca="false">IFERROR(Q66/Q64,0)</f>
        <v>408281.436234415</v>
      </c>
      <c r="R67" s="23" t="n">
        <f aca="false">IFERROR(R66/R64,0)</f>
        <v>469674.41860465</v>
      </c>
      <c r="S67" s="23" t="n">
        <f aca="false">IFERROR(S66/S64,0)</f>
        <v>722968.494983278</v>
      </c>
      <c r="T67" s="23" t="n">
        <f aca="false">IFERROR(T66/T64,0)</f>
        <v>394416.045918368</v>
      </c>
      <c r="U67" s="23" t="n">
        <f aca="false">IFERROR(U66/U64,0)</f>
        <v>152769.744935065</v>
      </c>
      <c r="V67" s="44" t="n">
        <f aca="false">IFERROR(V66/V64,0)</f>
        <v>356492.956522584</v>
      </c>
    </row>
    <row r="68" customFormat="false" ht="15" hidden="false" customHeight="false" outlineLevel="0" collapsed="false">
      <c r="B68" s="6" t="s">
        <v>375</v>
      </c>
      <c r="C68" s="32" t="n">
        <f aca="false">IFERROR(C66/C65,0)</f>
        <v>1.92242615690697</v>
      </c>
      <c r="D68" s="32" t="n">
        <f aca="false">IFERROR(D66/D65,0)</f>
        <v>2.54692153332904</v>
      </c>
      <c r="E68" s="32" t="n">
        <f aca="false">IFERROR(E66/E65,0)</f>
        <v>1.18205118362771</v>
      </c>
      <c r="F68" s="32" t="n">
        <f aca="false">IFERROR(F66/F65,0)</f>
        <v>0</v>
      </c>
      <c r="G68" s="46" t="n">
        <f aca="false">IFERROR(G66/G65,0)</f>
        <v>0.555529735540356</v>
      </c>
      <c r="H68" s="32" t="n">
        <f aca="false">IFERROR(H66/H65,0)</f>
        <v>2.13900926736932</v>
      </c>
      <c r="I68" s="32" t="n">
        <f aca="false">IFERROR(I66/I65,0)</f>
        <v>2.83386113088396</v>
      </c>
      <c r="J68" s="32" t="n">
        <f aca="false">IFERROR(J66/J65,0)</f>
        <v>1.31522265612148</v>
      </c>
      <c r="K68" s="32" t="n">
        <f aca="false">IFERROR(K66/K65,0)</f>
        <v>0.466108186408164</v>
      </c>
      <c r="L68" s="46" t="n">
        <f aca="false">IFERROR(L66/L65,0)</f>
        <v>1.15709112730282</v>
      </c>
      <c r="M68" s="32" t="n">
        <f aca="false">IFERROR(M66/M65,0)</f>
        <v>2.13900926736932</v>
      </c>
      <c r="N68" s="32" t="n">
        <f aca="false">IFERROR(N66/N65,0)</f>
        <v>2.83386113088396</v>
      </c>
      <c r="O68" s="32" t="n">
        <f aca="false">IFERROR(O66/O65,0)</f>
        <v>1.31522265612148</v>
      </c>
      <c r="P68" s="32" t="n">
        <f aca="false">IFERROR(P66/P65,0)</f>
        <v>0.932216372816326</v>
      </c>
      <c r="Q68" s="46" t="n">
        <f aca="false">IFERROR(Q66/Q65,0)</f>
        <v>1.53981743266066</v>
      </c>
      <c r="R68" s="32" t="n">
        <f aca="false">IFERROR(R66/R65,0)</f>
        <v>2.29826458036984</v>
      </c>
      <c r="S68" s="32" t="n">
        <f aca="false">IFERROR(S66/S65,0)</f>
        <v>3.00284882792152</v>
      </c>
      <c r="T68" s="32" t="n">
        <f aca="false">IFERROR(T66/T65,0)</f>
        <v>1.45072568613653</v>
      </c>
      <c r="U68" s="32" t="n">
        <f aca="false">IFERROR(U66/U65,0)</f>
        <v>0.509232483116884</v>
      </c>
      <c r="V68" s="46" t="n">
        <f aca="false">IFERROR(V66/V65,0)</f>
        <v>1.29820084895311</v>
      </c>
    </row>
    <row r="70" customFormat="false" ht="15" hidden="false" customHeight="false" outlineLevel="0" collapsed="false">
      <c r="B70" s="2" t="s">
        <v>376</v>
      </c>
    </row>
    <row r="71" customFormat="false" ht="15" hidden="false" customHeight="false" outlineLevel="0" collapsed="false">
      <c r="B71" s="2" t="s">
        <v>377</v>
      </c>
    </row>
    <row r="72" customFormat="false" ht="15" hidden="false" customHeight="false" outlineLevel="0" collapsed="false">
      <c r="B72" s="2" t="s">
        <v>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000"/>
    <pageSetUpPr fitToPage="false"/>
  </sheetPr>
  <dimension ref="A1:H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7" min="3" style="0" width="15"/>
    <col collapsed="false" customWidth="true" hidden="false" outlineLevel="0" max="8" min="8" style="0" width="58"/>
  </cols>
  <sheetData>
    <row r="1" customFormat="false" ht="17.35" hidden="false" customHeight="false" outlineLevel="0" collapsed="false">
      <c r="A1" s="1" t="s">
        <v>379</v>
      </c>
    </row>
    <row r="2" customFormat="false" ht="15" hidden="false" customHeight="false" outlineLevel="0" collapsed="false">
      <c r="A2" s="2" t="s">
        <v>380</v>
      </c>
    </row>
    <row r="4" customFormat="false" ht="15" hidden="false" customHeight="false" outlineLevel="0" collapsed="false">
      <c r="A4" s="8" t="s">
        <v>381</v>
      </c>
      <c r="B4" s="9"/>
      <c r="C4" s="9"/>
      <c r="D4" s="9"/>
      <c r="E4" s="9"/>
      <c r="F4" s="9"/>
      <c r="G4" s="9"/>
      <c r="H4" s="9"/>
    </row>
    <row r="5" customFormat="false" ht="30" hidden="false" customHeight="true" outlineLevel="0" collapsed="false">
      <c r="B5" s="18" t="s">
        <v>382</v>
      </c>
      <c r="C5" s="18" t="s">
        <v>82</v>
      </c>
      <c r="D5" s="18" t="s">
        <v>83</v>
      </c>
      <c r="E5" s="18" t="s">
        <v>84</v>
      </c>
      <c r="F5" s="18" t="s">
        <v>85</v>
      </c>
      <c r="G5" s="18" t="s">
        <v>194</v>
      </c>
    </row>
    <row r="6" customFormat="false" ht="15" hidden="false" customHeight="false" outlineLevel="0" collapsed="false">
      <c r="B6" s="6" t="s">
        <v>383</v>
      </c>
      <c r="C6" s="49" t="n">
        <f aca="false">Scenario_Engine!$H$36</f>
        <v>1.38169934640523</v>
      </c>
      <c r="D6" s="49" t="n">
        <f aca="false">Scenario_Engine!$I$36</f>
        <v>1.81176470588235</v>
      </c>
      <c r="E6" s="49" t="n">
        <f aca="false">Scenario_Engine!$J$36</f>
        <v>4.75742296918768</v>
      </c>
      <c r="F6" s="49" t="n">
        <f aca="false">Scenario_Engine!$K$36</f>
        <v>3.23137254901961</v>
      </c>
      <c r="G6" s="50" t="n">
        <f aca="false">SUM(C6:F6)</f>
        <v>11.1822595704949</v>
      </c>
    </row>
    <row r="7" customFormat="false" ht="15" hidden="false" customHeight="false" outlineLevel="0" collapsed="false">
      <c r="B7" s="6" t="s">
        <v>384</v>
      </c>
      <c r="C7" s="49" t="n">
        <f aca="false">Scenario_Engine!$H$38</f>
        <v>3.48170230590785</v>
      </c>
      <c r="D7" s="49" t="n">
        <f aca="false">Scenario_Engine!$I$38</f>
        <v>4.48315929181379</v>
      </c>
      <c r="E7" s="49" t="n">
        <f aca="false">Scenario_Engine!$J$38</f>
        <v>11.0625982047716</v>
      </c>
      <c r="F7" s="49" t="n">
        <f aca="false">Scenario_Engine!$K$38</f>
        <v>6.40522875816994</v>
      </c>
      <c r="G7" s="50" t="n">
        <f aca="false">SUM(C7:F7)</f>
        <v>25.4326885606632</v>
      </c>
    </row>
    <row r="8" customFormat="false" ht="15" hidden="false" customHeight="false" outlineLevel="0" collapsed="false">
      <c r="B8" s="6" t="s">
        <v>385</v>
      </c>
      <c r="C8" s="49" t="n">
        <f aca="false">Scenario_Engine!$H$42</f>
        <v>0.261127672943089</v>
      </c>
      <c r="D8" s="49" t="n">
        <f aca="false">Scenario_Engine!$I$42</f>
        <v>0.672473893772068</v>
      </c>
      <c r="E8" s="49" t="n">
        <f aca="false">Scenario_Engine!$J$42</f>
        <v>3.68753273492387</v>
      </c>
      <c r="F8" s="49" t="n">
        <f aca="false">Scenario_Engine!$K$42</f>
        <v>4.61176470588235</v>
      </c>
      <c r="G8" s="50" t="n">
        <f aca="false">SUM(C8:F8)</f>
        <v>9.23289900752138</v>
      </c>
    </row>
    <row r="9" customFormat="false" ht="15" hidden="false" customHeight="false" outlineLevel="0" collapsed="false">
      <c r="B9" s="3" t="s">
        <v>194</v>
      </c>
      <c r="C9" s="50" t="n">
        <f aca="false">SUM(C6:C8)</f>
        <v>5.12452932525617</v>
      </c>
      <c r="D9" s="50" t="n">
        <f aca="false">SUM(D6:D8)</f>
        <v>6.96739789146821</v>
      </c>
      <c r="E9" s="50" t="n">
        <f aca="false">SUM(E6:E8)</f>
        <v>19.5075539088832</v>
      </c>
      <c r="F9" s="50" t="n">
        <f aca="false">SUM(F6:F8)</f>
        <v>14.2483660130719</v>
      </c>
      <c r="G9" s="50" t="n">
        <f aca="false">SUM(G6:G8)</f>
        <v>45.8478471386794</v>
      </c>
    </row>
    <row r="11" customFormat="false" ht="15" hidden="false" customHeight="false" outlineLevel="0" collapsed="false">
      <c r="A11" s="8" t="s">
        <v>386</v>
      </c>
      <c r="B11" s="9"/>
      <c r="C11" s="9"/>
      <c r="D11" s="9"/>
      <c r="E11" s="9"/>
      <c r="F11" s="9"/>
      <c r="G11" s="9"/>
      <c r="H11" s="9"/>
    </row>
    <row r="12" customFormat="false" ht="30" hidden="false" customHeight="true" outlineLevel="0" collapsed="false">
      <c r="B12" s="18" t="s">
        <v>387</v>
      </c>
      <c r="C12" s="18" t="s">
        <v>388</v>
      </c>
      <c r="D12" s="18" t="s">
        <v>389</v>
      </c>
      <c r="E12" s="18" t="s">
        <v>390</v>
      </c>
      <c r="F12" s="18" t="s">
        <v>150</v>
      </c>
      <c r="G12" s="18"/>
      <c r="H12" s="18" t="s">
        <v>391</v>
      </c>
    </row>
    <row r="13" customFormat="false" ht="15" hidden="false" customHeight="false" outlineLevel="0" collapsed="false">
      <c r="B13" s="6" t="s">
        <v>392</v>
      </c>
      <c r="C13" s="6" t="s">
        <v>393</v>
      </c>
      <c r="D13" s="29" t="n">
        <f aca="false">C6+D6</f>
        <v>3.19346405228758</v>
      </c>
      <c r="E13" s="51" t="n">
        <f aca="false">MAX(1,IF(D13-INT(D13)&gt;=Inputs!$C$22,INT(D13)+1,INT(D13)))</f>
        <v>3</v>
      </c>
      <c r="F13" s="6" t="s">
        <v>394</v>
      </c>
      <c r="H13" s="2" t="s">
        <v>395</v>
      </c>
    </row>
    <row r="14" customFormat="false" ht="15" hidden="false" customHeight="false" outlineLevel="0" collapsed="false">
      <c r="B14" s="6" t="s">
        <v>396</v>
      </c>
      <c r="C14" s="6" t="s">
        <v>315</v>
      </c>
      <c r="D14" s="29" t="n">
        <f aca="false">E6</f>
        <v>4.75742296918768</v>
      </c>
      <c r="E14" s="51" t="n">
        <f aca="false">MAX(1,IF(D14-INT(D14)&gt;=Inputs!$C$22,INT(D14)+1,INT(D14)))</f>
        <v>5</v>
      </c>
      <c r="F14" s="6" t="s">
        <v>173</v>
      </c>
      <c r="H14" s="2" t="s">
        <v>397</v>
      </c>
    </row>
    <row r="15" customFormat="false" ht="15" hidden="false" customHeight="false" outlineLevel="0" collapsed="false">
      <c r="B15" s="6" t="s">
        <v>398</v>
      </c>
      <c r="C15" s="6" t="s">
        <v>176</v>
      </c>
      <c r="D15" s="29" t="n">
        <f aca="false">F6</f>
        <v>3.23137254901961</v>
      </c>
      <c r="E15" s="51" t="n">
        <f aca="false">MAX(1,IF(D15-INT(D15)&gt;=Inputs!$C$22,INT(D15)+1,INT(D15)))</f>
        <v>3</v>
      </c>
      <c r="F15" s="6" t="s">
        <v>176</v>
      </c>
      <c r="H15" s="2" t="s">
        <v>399</v>
      </c>
    </row>
    <row r="16" customFormat="false" ht="15" hidden="false" customHeight="false" outlineLevel="0" collapsed="false">
      <c r="B16" s="6" t="s">
        <v>400</v>
      </c>
      <c r="C16" s="6" t="s">
        <v>170</v>
      </c>
      <c r="D16" s="29" t="n">
        <f aca="false">C7</f>
        <v>3.48170230590785</v>
      </c>
      <c r="E16" s="51" t="n">
        <f aca="false">MAX(1,IF(D16-INT(D16)&gt;=Inputs!$C$22,INT(D16)+1,INT(D16)))</f>
        <v>4</v>
      </c>
      <c r="F16" s="6" t="s">
        <v>170</v>
      </c>
      <c r="H16" s="2" t="s">
        <v>401</v>
      </c>
    </row>
    <row r="17" customFormat="false" ht="15" hidden="false" customHeight="false" outlineLevel="0" collapsed="false">
      <c r="B17" s="6" t="s">
        <v>402</v>
      </c>
      <c r="C17" s="6" t="s">
        <v>314</v>
      </c>
      <c r="D17" s="29" t="n">
        <f aca="false">D7</f>
        <v>4.48315929181379</v>
      </c>
      <c r="E17" s="51" t="n">
        <f aca="false">MAX(1,IF(D17-INT(D17)&gt;=Inputs!$C$22,INT(D17)+1,INT(D17)))</f>
        <v>5</v>
      </c>
      <c r="F17" s="6" t="s">
        <v>173</v>
      </c>
      <c r="H17" s="2" t="s">
        <v>403</v>
      </c>
    </row>
    <row r="18" customFormat="false" ht="15" hidden="false" customHeight="false" outlineLevel="0" collapsed="false">
      <c r="B18" s="6" t="s">
        <v>404</v>
      </c>
      <c r="C18" s="6" t="s">
        <v>315</v>
      </c>
      <c r="D18" s="29" t="n">
        <f aca="false">E7</f>
        <v>11.0625982047716</v>
      </c>
      <c r="E18" s="51" t="n">
        <f aca="false">MAX(1,IF(D18-INT(D18)&gt;=Inputs!$C$22,INT(D18)+1,INT(D18)))</f>
        <v>11</v>
      </c>
      <c r="F18" s="6" t="s">
        <v>173</v>
      </c>
      <c r="H18" s="2" t="s">
        <v>405</v>
      </c>
    </row>
    <row r="19" customFormat="false" ht="15" hidden="false" customHeight="false" outlineLevel="0" collapsed="false">
      <c r="B19" s="6" t="s">
        <v>406</v>
      </c>
      <c r="C19" s="6" t="s">
        <v>176</v>
      </c>
      <c r="D19" s="29" t="n">
        <f aca="false">F7</f>
        <v>6.40522875816994</v>
      </c>
      <c r="E19" s="51" t="n">
        <f aca="false">IF(Inputs!$C$49=1,MAX(1,IF(D19-INT(D19)&gt;=Inputs!$C$22,INT(D19)+1,INT(D19))),MAX(1,INT(D19)))</f>
        <v>6</v>
      </c>
      <c r="F19" s="6" t="s">
        <v>176</v>
      </c>
      <c r="H19" s="2" t="s">
        <v>407</v>
      </c>
    </row>
    <row r="20" customFormat="false" ht="15" hidden="false" customHeight="false" outlineLevel="0" collapsed="false">
      <c r="B20" s="6" t="s">
        <v>408</v>
      </c>
      <c r="C20" s="6" t="s">
        <v>409</v>
      </c>
      <c r="D20" s="29" t="n">
        <f aca="false">C8+D8+E8</f>
        <v>4.62113430163903</v>
      </c>
      <c r="E20" s="51" t="n">
        <f aca="false">MAX(1,IF(D20-INT(D20)&gt;=Inputs!$C$22,INT(D20)+1,INT(D20)))</f>
        <v>5</v>
      </c>
      <c r="F20" s="6" t="s">
        <v>394</v>
      </c>
      <c r="H20" s="2" t="s">
        <v>410</v>
      </c>
    </row>
    <row r="21" customFormat="false" ht="15" hidden="false" customHeight="false" outlineLevel="0" collapsed="false">
      <c r="B21" s="6" t="s">
        <v>411</v>
      </c>
      <c r="C21" s="6" t="s">
        <v>176</v>
      </c>
      <c r="D21" s="29" t="n">
        <f aca="false">F8</f>
        <v>4.61176470588235</v>
      </c>
      <c r="E21" s="51" t="n">
        <f aca="false">IF(Inputs!$C$49=1,MAX(1,IF(D21-INT(D21)&gt;=Inputs!$C$22,INT(D21)+1,INT(D21))),MAX(1,INT(D21)))</f>
        <v>4</v>
      </c>
      <c r="F21" s="6" t="s">
        <v>176</v>
      </c>
      <c r="H21" s="2" t="s">
        <v>412</v>
      </c>
    </row>
    <row r="22" customFormat="false" ht="15" hidden="false" customHeight="false" outlineLevel="0" collapsed="false">
      <c r="B22" s="3" t="s">
        <v>413</v>
      </c>
      <c r="D22" s="29" t="n">
        <f aca="false">SUM(D13:D15)</f>
        <v>11.1822595704949</v>
      </c>
      <c r="E22" s="26" t="n">
        <f aca="false">SUM(E13:E15)</f>
        <v>11</v>
      </c>
    </row>
    <row r="23" customFormat="false" ht="15" hidden="false" customHeight="false" outlineLevel="0" collapsed="false">
      <c r="B23" s="3" t="s">
        <v>414</v>
      </c>
      <c r="D23" s="29" t="n">
        <f aca="false">SUM(D16:D19)</f>
        <v>25.4326885606632</v>
      </c>
      <c r="E23" s="26" t="n">
        <f aca="false">SUM(E16:E19)</f>
        <v>26</v>
      </c>
    </row>
    <row r="24" customFormat="false" ht="15" hidden="false" customHeight="false" outlineLevel="0" collapsed="false">
      <c r="B24" s="3" t="s">
        <v>415</v>
      </c>
      <c r="D24" s="29" t="n">
        <f aca="false">SUM(D20:D21)</f>
        <v>9.23289900752138</v>
      </c>
      <c r="E24" s="26" t="n">
        <f aca="false">SUM(E20:E21)</f>
        <v>9</v>
      </c>
    </row>
    <row r="25" customFormat="false" ht="15" hidden="false" customHeight="false" outlineLevel="0" collapsed="false">
      <c r="B25" s="3" t="s">
        <v>416</v>
      </c>
      <c r="D25" s="29" t="n">
        <f aca="false">SUM(D22:D24)</f>
        <v>45.8478471386794</v>
      </c>
      <c r="E25" s="26" t="n">
        <f aca="false">SUM(E22:E24)</f>
        <v>46</v>
      </c>
    </row>
    <row r="27" customFormat="false" ht="15" hidden="false" customHeight="false" outlineLevel="0" collapsed="false">
      <c r="A27" s="8" t="s">
        <v>417</v>
      </c>
      <c r="B27" s="9"/>
      <c r="C27" s="9"/>
      <c r="D27" s="9"/>
      <c r="E27" s="9"/>
      <c r="F27" s="9"/>
      <c r="G27" s="9"/>
      <c r="H27" s="9"/>
    </row>
    <row r="28" customFormat="false" ht="30" hidden="false" customHeight="true" outlineLevel="0" collapsed="false">
      <c r="B28" s="18" t="s">
        <v>382</v>
      </c>
      <c r="C28" s="18" t="s">
        <v>82</v>
      </c>
      <c r="D28" s="18" t="s">
        <v>83</v>
      </c>
      <c r="E28" s="18" t="s">
        <v>84</v>
      </c>
      <c r="F28" s="18" t="s">
        <v>85</v>
      </c>
      <c r="G28" s="18" t="s">
        <v>194</v>
      </c>
    </row>
    <row r="29" customFormat="false" ht="15" hidden="false" customHeight="false" outlineLevel="0" collapsed="false">
      <c r="B29" s="6" t="s">
        <v>383</v>
      </c>
      <c r="C29" s="25" t="n">
        <f aca="false">C6/$D$13*$E$13</f>
        <v>1.29799426934097</v>
      </c>
      <c r="D29" s="25" t="n">
        <f aca="false">D6/$D$13*$E$13</f>
        <v>1.70200573065903</v>
      </c>
      <c r="E29" s="25" t="n">
        <f aca="false">E6/$D$14*$E$14</f>
        <v>5</v>
      </c>
      <c r="F29" s="25" t="n">
        <f aca="false">F6/$D$15*$E$15</f>
        <v>3</v>
      </c>
      <c r="G29" s="36" t="n">
        <f aca="false">SUM(C29:F29)</f>
        <v>11</v>
      </c>
    </row>
    <row r="30" customFormat="false" ht="15" hidden="false" customHeight="false" outlineLevel="0" collapsed="false">
      <c r="B30" s="6" t="s">
        <v>384</v>
      </c>
      <c r="C30" s="25" t="n">
        <f aca="false">E16</f>
        <v>4</v>
      </c>
      <c r="D30" s="25" t="n">
        <f aca="false">E17</f>
        <v>5</v>
      </c>
      <c r="E30" s="25" t="n">
        <f aca="false">E18</f>
        <v>11</v>
      </c>
      <c r="F30" s="25" t="n">
        <f aca="false">E19</f>
        <v>6</v>
      </c>
      <c r="G30" s="36" t="n">
        <f aca="false">SUM(C30:F30)</f>
        <v>26</v>
      </c>
    </row>
    <row r="31" customFormat="false" ht="15" hidden="false" customHeight="false" outlineLevel="0" collapsed="false">
      <c r="B31" s="6" t="s">
        <v>385</v>
      </c>
      <c r="C31" s="25" t="n">
        <f aca="false">C8/$D$20*$E$20</f>
        <v>0.282536338373104</v>
      </c>
      <c r="D31" s="25" t="n">
        <f aca="false">D8/$D$20*$E$20</f>
        <v>0.72760695738009</v>
      </c>
      <c r="E31" s="25" t="n">
        <f aca="false">E8/$D$20*$E$20</f>
        <v>3.98985670424681</v>
      </c>
      <c r="F31" s="25" t="n">
        <f aca="false">F8/$D$21*$E$21</f>
        <v>4</v>
      </c>
      <c r="G31" s="36" t="n">
        <f aca="false">SUM(C31:F31)</f>
        <v>9</v>
      </c>
    </row>
    <row r="32" customFormat="false" ht="15" hidden="false" customHeight="false" outlineLevel="0" collapsed="false">
      <c r="B32" s="3" t="s">
        <v>418</v>
      </c>
      <c r="C32" s="36" t="n">
        <f aca="false">SUM(C29:C31)</f>
        <v>5.58053060771408</v>
      </c>
      <c r="D32" s="36" t="n">
        <f aca="false">SUM(D29:D31)</f>
        <v>7.42961268803912</v>
      </c>
      <c r="E32" s="36" t="n">
        <f aca="false">SUM(E29:E31)</f>
        <v>19.9898567042468</v>
      </c>
      <c r="F32" s="36" t="n">
        <f aca="false">SUM(F29:F31)</f>
        <v>13</v>
      </c>
      <c r="G32" s="36" t="n">
        <f aca="false">SUM(G29:G31)</f>
        <v>46</v>
      </c>
    </row>
    <row r="33" customFormat="false" ht="15" hidden="false" customHeight="false" outlineLevel="0" collapsed="false">
      <c r="B33" s="6" t="s">
        <v>419</v>
      </c>
      <c r="C33" s="25" t="n">
        <f aca="false">IFERROR(C30/C29,0)</f>
        <v>3.08167770419426</v>
      </c>
      <c r="D33" s="25" t="n">
        <f aca="false">IFERROR(D30/D29,0)</f>
        <v>2.93771043771044</v>
      </c>
      <c r="E33" s="25" t="n">
        <f aca="false">IFERROR(E30/E29,0)</f>
        <v>2.2</v>
      </c>
      <c r="F33" s="25" t="n">
        <f aca="false">IFERROR(F30/F29,0)</f>
        <v>2</v>
      </c>
      <c r="G33" s="25" t="n">
        <f aca="false">IFERROR(G30/G29,0)</f>
        <v>2.36363636363636</v>
      </c>
    </row>
    <row r="34" customFormat="false" ht="15" hidden="false" customHeight="false" outlineLevel="0" collapsed="false">
      <c r="B34" s="6" t="s">
        <v>420</v>
      </c>
      <c r="C34" s="25" t="n">
        <f aca="false">IFERROR(C30/C31,0)</f>
        <v>14.1574709399603</v>
      </c>
      <c r="D34" s="25" t="n">
        <f aca="false">IFERROR(D30/D31,0)</f>
        <v>6.87184193235811</v>
      </c>
      <c r="E34" s="25" t="n">
        <f aca="false">IFERROR(E30/E31,0)</f>
        <v>2.75699124439522</v>
      </c>
      <c r="F34" s="25" t="n">
        <f aca="false">IFERROR(F30/F31,0)</f>
        <v>1.5</v>
      </c>
      <c r="G34" s="25" t="n">
        <f aca="false">IFERROR(G30/G31,0)</f>
        <v>2.88888888888889</v>
      </c>
    </row>
    <row r="36" customFormat="false" ht="15" hidden="false" customHeight="false" outlineLevel="0" collapsed="false">
      <c r="A36" s="8" t="s">
        <v>421</v>
      </c>
      <c r="B36" s="9"/>
      <c r="C36" s="9"/>
      <c r="D36" s="9"/>
      <c r="E36" s="9"/>
      <c r="F36" s="9"/>
      <c r="G36" s="9"/>
      <c r="H36" s="9"/>
    </row>
    <row r="37" customFormat="false" ht="30" hidden="false" customHeight="true" outlineLevel="0" collapsed="false">
      <c r="B37" s="18" t="s">
        <v>204</v>
      </c>
      <c r="C37" s="18" t="s">
        <v>82</v>
      </c>
      <c r="D37" s="18" t="s">
        <v>83</v>
      </c>
      <c r="E37" s="18" t="s">
        <v>84</v>
      </c>
      <c r="F37" s="18" t="s">
        <v>85</v>
      </c>
      <c r="G37" s="18" t="s">
        <v>194</v>
      </c>
    </row>
    <row r="38" customFormat="false" ht="15" hidden="false" customHeight="false" outlineLevel="0" collapsed="false">
      <c r="B38" s="6" t="s">
        <v>361</v>
      </c>
      <c r="C38" s="23" t="n">
        <f aca="false">C29*Scenario_Engine!$H$51</f>
        <v>146024.35530086</v>
      </c>
      <c r="D38" s="23" t="n">
        <f aca="false">D29*Scenario_Engine!$I$51</f>
        <v>191475.64469914</v>
      </c>
      <c r="E38" s="23" t="n">
        <f aca="false">E29*Scenario_Engine!$J$51</f>
        <v>562500</v>
      </c>
      <c r="F38" s="23" t="n">
        <f aca="false">F29*Scenario_Engine!$K$51</f>
        <v>337500</v>
      </c>
      <c r="G38" s="27" t="n">
        <f aca="false">SUM(C38:F38)</f>
        <v>1237500</v>
      </c>
    </row>
    <row r="39" customFormat="false" ht="15" hidden="false" customHeight="false" outlineLevel="0" collapsed="false">
      <c r="B39" s="6" t="s">
        <v>362</v>
      </c>
      <c r="C39" s="23" t="n">
        <f aca="false">C30*Scenario_Engine!$H$52</f>
        <v>800000</v>
      </c>
      <c r="D39" s="23" t="n">
        <f aca="false">D30*Scenario_Engine!$I$52</f>
        <v>1187500</v>
      </c>
      <c r="E39" s="23" t="n">
        <f aca="false">E30*Scenario_Engine!$J$52</f>
        <v>3025000</v>
      </c>
      <c r="F39" s="23" t="n">
        <f aca="false">F30*Scenario_Engine!$K$52</f>
        <v>2250000</v>
      </c>
      <c r="G39" s="27" t="n">
        <f aca="false">SUM(C39:F39)</f>
        <v>7262500</v>
      </c>
    </row>
    <row r="40" customFormat="false" ht="15" hidden="false" customHeight="false" outlineLevel="0" collapsed="false">
      <c r="B40" s="6" t="s">
        <v>363</v>
      </c>
      <c r="C40" s="23" t="n">
        <f aca="false">C31*Scenario_Engine!$H$53</f>
        <v>74165.7888229399</v>
      </c>
      <c r="D40" s="23" t="n">
        <f aca="false">D31*Scenario_Engine!$I$53</f>
        <v>190996.826312274</v>
      </c>
      <c r="E40" s="23" t="n">
        <f aca="false">E31*Scenario_Engine!$J$53</f>
        <v>1047337.38486479</v>
      </c>
      <c r="F40" s="23" t="n">
        <f aca="false">F31*Scenario_Engine!$K$53</f>
        <v>1200000</v>
      </c>
      <c r="G40" s="27" t="n">
        <f aca="false">SUM(C40:F40)</f>
        <v>2512500</v>
      </c>
    </row>
    <row r="41" customFormat="false" ht="15" hidden="false" customHeight="false" outlineLevel="0" collapsed="false">
      <c r="B41" s="6" t="s">
        <v>422</v>
      </c>
      <c r="C41" s="23" t="n">
        <f aca="false">SUM(C38:C40)</f>
        <v>1020190.1441238</v>
      </c>
      <c r="D41" s="23" t="n">
        <f aca="false">SUM(D38:D40)</f>
        <v>1569972.47101141</v>
      </c>
      <c r="E41" s="23" t="n">
        <f aca="false">SUM(E38:E40)</f>
        <v>4634837.38486479</v>
      </c>
      <c r="F41" s="23" t="n">
        <f aca="false">SUM(F38:F40)</f>
        <v>3787500</v>
      </c>
      <c r="G41" s="27" t="n">
        <f aca="false">SUM(C41:F41)</f>
        <v>11012500</v>
      </c>
    </row>
    <row r="42" customFormat="false" ht="15" hidden="false" customHeight="false" outlineLevel="0" collapsed="false">
      <c r="B42" s="6" t="s">
        <v>423</v>
      </c>
      <c r="C42" s="23" t="n">
        <f aca="false">Scenario_Engine!$H$28</f>
        <v>1636099.25921446</v>
      </c>
      <c r="D42" s="23" t="n">
        <f aca="false">Scenario_Engine!$I$28</f>
        <v>3517600.20703759</v>
      </c>
      <c r="E42" s="23" t="n">
        <f aca="false">Scenario_Engine!$J$28</f>
        <v>5274295.17550062</v>
      </c>
      <c r="F42" s="23" t="n">
        <f aca="false">Scenario_Engine!$K$28</f>
        <v>2421843.06416</v>
      </c>
      <c r="G42" s="27" t="n">
        <f aca="false">SUM(C42:F42)</f>
        <v>12849837.7059127</v>
      </c>
    </row>
    <row r="43" customFormat="false" ht="15" hidden="false" customHeight="false" outlineLevel="0" collapsed="false">
      <c r="B43" s="6" t="s">
        <v>424</v>
      </c>
      <c r="C43" s="23" t="n">
        <f aca="false">Scenario_Engine!$H$29</f>
        <v>1560236</v>
      </c>
      <c r="D43" s="23" t="n">
        <f aca="false">Scenario_Engine!$I$29</f>
        <v>3343632</v>
      </c>
      <c r="E43" s="23" t="n">
        <f aca="false">Scenario_Engine!$J$29</f>
        <v>5094876</v>
      </c>
      <c r="F43" s="23" t="n">
        <f aca="false">Scenario_Engine!$K$29</f>
        <v>2314364</v>
      </c>
      <c r="G43" s="27" t="n">
        <f aca="false">SUM(C43:F43)</f>
        <v>12313108</v>
      </c>
    </row>
    <row r="44" customFormat="false" ht="15" hidden="false" customHeight="false" outlineLevel="0" collapsed="false">
      <c r="B44" s="6" t="s">
        <v>425</v>
      </c>
      <c r="C44" s="23" t="n">
        <f aca="false">Scenario_Engine!$H$30+Scenario_Engine!$H$31</f>
        <v>75863.2592144633</v>
      </c>
      <c r="D44" s="23" t="n">
        <f aca="false">Scenario_Engine!$I$30+Scenario_Engine!$I$31</f>
        <v>173968.207037586</v>
      </c>
      <c r="E44" s="23" t="n">
        <f aca="false">Scenario_Engine!$J$30+Scenario_Engine!$J$31</f>
        <v>179419.175500614</v>
      </c>
      <c r="F44" s="23" t="n">
        <f aca="false">Scenario_Engine!$K$30+Scenario_Engine!$K$31</f>
        <v>107479.06416</v>
      </c>
      <c r="G44" s="27" t="n">
        <f aca="false">SUM(C44:F44)</f>
        <v>536729.705912663</v>
      </c>
    </row>
    <row r="45" customFormat="false" ht="15" hidden="false" customHeight="false" outlineLevel="0" collapsed="false">
      <c r="B45" s="6" t="s">
        <v>426</v>
      </c>
      <c r="C45" s="52" t="n">
        <f aca="false">C42/C41</f>
        <v>1.60371992283815</v>
      </c>
      <c r="D45" s="52" t="n">
        <f aca="false">D42/D41</f>
        <v>2.2405489726654</v>
      </c>
      <c r="E45" s="52" t="n">
        <f aca="false">E42/E41</f>
        <v>1.1379676863581</v>
      </c>
      <c r="F45" s="52" t="n">
        <f aca="false">F42/F41</f>
        <v>0.639430511989439</v>
      </c>
      <c r="G45" s="53" t="n">
        <f aca="false">G42/G41</f>
        <v>1.16684110836891</v>
      </c>
    </row>
    <row r="46" customFormat="false" ht="15" hidden="false" customHeight="false" outlineLevel="0" collapsed="false">
      <c r="B46" s="6" t="s">
        <v>366</v>
      </c>
      <c r="C46" s="54" t="n">
        <f aca="false">C41/(C42*Inputs!$C$20/12)</f>
        <v>9.35325413520712</v>
      </c>
      <c r="D46" s="54" t="n">
        <f aca="false">D41/(D42*Inputs!$C$20/12)</f>
        <v>6.69478783235686</v>
      </c>
      <c r="E46" s="54" t="n">
        <f aca="false">E41/(E42*Inputs!$C$20/12)</f>
        <v>13.1813936193613</v>
      </c>
      <c r="F46" s="54" t="n">
        <f aca="false">F41/(F42*Inputs!$C$20/12)</f>
        <v>23.4583738478963</v>
      </c>
      <c r="G46" s="55" t="n">
        <f aca="false">G41/(G42*Inputs!$C$20/12)</f>
        <v>12.8552207257833</v>
      </c>
    </row>
    <row r="47" customFormat="false" ht="15" hidden="false" customHeight="false" outlineLevel="0" collapsed="false">
      <c r="B47" s="6" t="s">
        <v>427</v>
      </c>
      <c r="C47" s="23" t="n">
        <f aca="false">C42/C30</f>
        <v>409024.814803616</v>
      </c>
      <c r="D47" s="23" t="n">
        <f aca="false">D42/D30</f>
        <v>703520.041407517</v>
      </c>
      <c r="E47" s="23" t="n">
        <f aca="false">E42/E30</f>
        <v>479481.379590965</v>
      </c>
      <c r="F47" s="23" t="n">
        <f aca="false">F42/F30</f>
        <v>403640.510693333</v>
      </c>
      <c r="G47" s="27" t="n">
        <f aca="false">G42/G30</f>
        <v>494224.527150487</v>
      </c>
    </row>
    <row r="48" customFormat="false" ht="15" hidden="false" customHeight="false" outlineLevel="0" collapsed="false">
      <c r="B48" s="6" t="s">
        <v>428</v>
      </c>
      <c r="C48" s="24" t="n">
        <f aca="false">C42/$G$42</f>
        <v>0.127324507644298</v>
      </c>
      <c r="D48" s="24" t="n">
        <f aca="false">D42/$G$42</f>
        <v>0.273746664163627</v>
      </c>
      <c r="E48" s="24" t="n">
        <f aca="false">E42/$G$42</f>
        <v>0.41045617043659</v>
      </c>
      <c r="F48" s="24" t="n">
        <f aca="false">F42/$G$42</f>
        <v>0.188472657755485</v>
      </c>
      <c r="G48" s="37" t="n">
        <f aca="false">SUM(C48:F48)</f>
        <v>1</v>
      </c>
    </row>
    <row r="49" customFormat="false" ht="15" hidden="false" customHeight="false" outlineLevel="0" collapsed="false">
      <c r="B49" s="6" t="s">
        <v>429</v>
      </c>
      <c r="C49" s="24" t="n">
        <f aca="false">C41/$G$41</f>
        <v>0.0926392866400726</v>
      </c>
      <c r="D49" s="24" t="n">
        <f aca="false">D41/$G$41</f>
        <v>0.142562766947688</v>
      </c>
      <c r="E49" s="24" t="n">
        <f aca="false">E41/$G$41</f>
        <v>0.420870591134146</v>
      </c>
      <c r="F49" s="24" t="n">
        <f aca="false">F41/$G$41</f>
        <v>0.343927355278093</v>
      </c>
      <c r="G49" s="37" t="n">
        <f aca="false">SUM(C49:F49)</f>
        <v>1</v>
      </c>
    </row>
    <row r="51" customFormat="false" ht="15" hidden="false" customHeight="false" outlineLevel="0" collapsed="false">
      <c r="A51" s="8" t="s">
        <v>430</v>
      </c>
      <c r="B51" s="9"/>
      <c r="C51" s="9"/>
      <c r="D51" s="9"/>
      <c r="E51" s="9"/>
      <c r="F51" s="9"/>
      <c r="G51" s="9"/>
      <c r="H51" s="9"/>
    </row>
    <row r="52" customFormat="false" ht="30" hidden="false" customHeight="true" outlineLevel="0" collapsed="false">
      <c r="B52" s="18" t="s">
        <v>204</v>
      </c>
      <c r="C52" s="18" t="s">
        <v>82</v>
      </c>
      <c r="D52" s="18" t="s">
        <v>83</v>
      </c>
      <c r="E52" s="18" t="s">
        <v>84</v>
      </c>
      <c r="F52" s="18" t="s">
        <v>85</v>
      </c>
      <c r="G52" s="18" t="s">
        <v>205</v>
      </c>
    </row>
    <row r="53" customFormat="false" ht="15" hidden="false" customHeight="false" outlineLevel="0" collapsed="false">
      <c r="B53" s="6" t="s">
        <v>431</v>
      </c>
      <c r="C53" s="23" t="n">
        <f aca="false">Scenario_Engine!$H$37*Inputs!$C$16*Scenario_Engine!$H$10*Scenario_Engine!$H$22*Scenario_Engine!$H$12*Inputs!$C$18</f>
        <v>469913.598425197</v>
      </c>
      <c r="D53" s="23" t="n">
        <f aca="false">Scenario_Engine!$I$37*Inputs!$C$16*Scenario_Engine!$I$10*Scenario_Engine!$I$22*Scenario_Engine!$I$12*Inputs!$C$18</f>
        <v>784625.300613497</v>
      </c>
      <c r="E53" s="23" t="n">
        <f aca="false">Scenario_Engine!$J$37*Inputs!$C$16*Scenario_Engine!$J$10*Scenario_Engine!$J$22*Scenario_Engine!$J$12*Inputs!$C$18</f>
        <v>476768.212844037</v>
      </c>
      <c r="F53" s="23" t="n">
        <f aca="false">Scenario_Engine!$K$37*Inputs!$C$16*Scenario_Engine!$K$10*Scenario_Engine!$K$22*Scenario_Engine!$K$12*Inputs!$C$18</f>
        <v>378104.070220898</v>
      </c>
      <c r="G53" s="2" t="s">
        <v>432</v>
      </c>
    </row>
    <row r="54" customFormat="false" ht="15" hidden="false" customHeight="false" outlineLevel="0" collapsed="false">
      <c r="B54" s="6" t="s">
        <v>433</v>
      </c>
      <c r="C54" s="24" t="n">
        <f aca="false">(Inputs!$C$18-Inputs!$C$36*(1-Inputs!$C$23))/Inputs!$C$18</f>
        <v>0.875</v>
      </c>
      <c r="D54" s="24" t="n">
        <f aca="false">(Inputs!$C$18-Inputs!$D$36*(1-Inputs!$C$23))/Inputs!$C$18</f>
        <v>0.875</v>
      </c>
      <c r="E54" s="24" t="n">
        <f aca="false">(Inputs!$C$18-Inputs!$E$36*(1-Inputs!$C$23))/Inputs!$C$18</f>
        <v>0.833333333333333</v>
      </c>
      <c r="F54" s="24" t="n">
        <f aca="false">(Inputs!$C$18-Inputs!$F$36*(1-Inputs!$C$23))/Inputs!$C$18</f>
        <v>0.75</v>
      </c>
      <c r="G54" s="2" t="s">
        <v>434</v>
      </c>
    </row>
    <row r="55" customFormat="false" ht="15" hidden="false" customHeight="false" outlineLevel="0" collapsed="false">
      <c r="B55" s="6" t="s">
        <v>435</v>
      </c>
      <c r="C55" s="23" t="n">
        <f aca="false">C53*C54</f>
        <v>411174.398622047</v>
      </c>
      <c r="D55" s="23" t="n">
        <f aca="false">D53*D54</f>
        <v>686547.13803681</v>
      </c>
      <c r="E55" s="23" t="n">
        <f aca="false">E53*E54</f>
        <v>397306.844036697</v>
      </c>
      <c r="F55" s="23" t="n">
        <f aca="false">F53*F54</f>
        <v>283578.052665674</v>
      </c>
    </row>
    <row r="56" customFormat="false" ht="15" hidden="false" customHeight="false" outlineLevel="0" collapsed="false">
      <c r="B56" s="6" t="s">
        <v>436</v>
      </c>
      <c r="C56" s="23" t="n">
        <f aca="false">Scenario_Engine!$H$52</f>
        <v>200000</v>
      </c>
      <c r="D56" s="23" t="n">
        <f aca="false">Scenario_Engine!$I$52</f>
        <v>237500</v>
      </c>
      <c r="E56" s="23" t="n">
        <f aca="false">Scenario_Engine!$J$52</f>
        <v>275000</v>
      </c>
      <c r="F56" s="23" t="n">
        <f aca="false">Scenario_Engine!$K$52</f>
        <v>375000</v>
      </c>
    </row>
    <row r="57" customFormat="false" ht="15" hidden="false" customHeight="false" outlineLevel="0" collapsed="false">
      <c r="B57" s="6" t="s">
        <v>437</v>
      </c>
      <c r="C57" s="32" t="n">
        <f aca="false">C53/C56</f>
        <v>2.34956799212598</v>
      </c>
      <c r="D57" s="32" t="n">
        <f aca="false">D53/D56</f>
        <v>3.30368547626736</v>
      </c>
      <c r="E57" s="32" t="n">
        <f aca="false">E53/E56</f>
        <v>1.73370259216013</v>
      </c>
      <c r="F57" s="32" t="n">
        <f aca="false">F53/F56</f>
        <v>1.00827752058906</v>
      </c>
    </row>
    <row r="58" customFormat="false" ht="15" hidden="false" customHeight="false" outlineLevel="0" collapsed="false">
      <c r="B58" s="6" t="s">
        <v>438</v>
      </c>
      <c r="C58" s="32" t="n">
        <f aca="false">C53/(C56+Scenario_Engine!$H$42/Scenario_Engine!$H$38*Scenario_Engine!$H$53+Scenario_Engine!$H$36/Scenario_Engine!$H$38*Scenario_Engine!$H$51)</f>
        <v>1.77773563145151</v>
      </c>
      <c r="D58" s="32" t="n">
        <f aca="false">D53/(D56+Scenario_Engine!$I$42/Scenario_Engine!$I$38*Scenario_Engine!$I$53+Scenario_Engine!$I$36/Scenario_Engine!$I$38*Scenario_Engine!$I$51)</f>
        <v>2.43415988273077</v>
      </c>
      <c r="E58" s="32" t="n">
        <f aca="false">E53/(E56+Scenario_Engine!$J$42/Scenario_Engine!$J$38*Scenario_Engine!$J$53+Scenario_Engine!$J$36/Scenario_Engine!$J$38*Scenario_Engine!$J$51)</f>
        <v>1.16035836938935</v>
      </c>
      <c r="F58" s="32" t="n">
        <f aca="false">F53/(F56+Scenario_Engine!$K$42/Scenario_Engine!$K$38*Scenario_Engine!$K$53+Scenario_Engine!$K$36/Scenario_Engine!$K$38*Scenario_Engine!$K$51)</f>
        <v>0.583714538148204</v>
      </c>
      <c r="G58" s="2" t="s">
        <v>439</v>
      </c>
    </row>
    <row r="59" customFormat="false" ht="15" hidden="false" customHeight="false" outlineLevel="0" collapsed="false">
      <c r="B59" s="6" t="s">
        <v>440</v>
      </c>
      <c r="C59" s="23" t="n">
        <f aca="false">Scenario_Engine!$H$35*Inputs!$C$16*Scenario_Engine!$H$15*Scenario_Engine!$H$10*Scenario_Engine!$H$11*Scenario_Engine!$H$12*Inputs!$C$18</f>
        <v>109811.529421125</v>
      </c>
      <c r="D59" s="23" t="n">
        <f aca="false">Scenario_Engine!$I$35*Inputs!$C$16*Scenario_Engine!$I$15*Scenario_Engine!$I$10*Scenario_Engine!$I$11*Scenario_Engine!$I$12*Inputs!$C$18</f>
        <v>192042.825950582</v>
      </c>
      <c r="E59" s="23" t="n">
        <f aca="false">Scenario_Engine!$J$35*Inputs!$C$16*Scenario_Engine!$J$15*Scenario_Engine!$J$10*Scenario_Engine!$J$11*Scenario_Engine!$J$12*Inputs!$C$18</f>
        <v>75427.043869194</v>
      </c>
      <c r="F59" s="23" t="n">
        <f aca="false">Scenario_Engine!$K$35*Inputs!$C$16*Scenario_Engine!$K$15*Scenario_Engine!$K$10*Scenario_Engine!$K$11*Scenario_Engine!$K$12*Inputs!$C$18</f>
        <v>0</v>
      </c>
      <c r="G59" s="2" t="s">
        <v>441</v>
      </c>
    </row>
    <row r="60" customFormat="false" ht="15" hidden="false" customHeight="false" outlineLevel="0" collapsed="false">
      <c r="B60" s="6" t="s">
        <v>442</v>
      </c>
      <c r="C60" s="23" t="n">
        <f aca="false">Scenario_Engine!$H$51</f>
        <v>112500</v>
      </c>
      <c r="D60" s="23" t="n">
        <f aca="false">Scenario_Engine!$I$51</f>
        <v>112500</v>
      </c>
      <c r="E60" s="23" t="n">
        <f aca="false">Scenario_Engine!$J$51</f>
        <v>112500</v>
      </c>
      <c r="F60" s="23" t="n">
        <f aca="false">Scenario_Engine!$K$51</f>
        <v>112500</v>
      </c>
    </row>
    <row r="61" customFormat="false" ht="15" hidden="false" customHeight="false" outlineLevel="0" collapsed="false">
      <c r="B61" s="6" t="s">
        <v>443</v>
      </c>
      <c r="C61" s="32" t="n">
        <f aca="false">C59/C60</f>
        <v>0.976102483743331</v>
      </c>
      <c r="D61" s="32" t="n">
        <f aca="false">D59/D60</f>
        <v>1.70704734178295</v>
      </c>
      <c r="E61" s="32" t="n">
        <f aca="false">E59/E60</f>
        <v>0.670462612170613</v>
      </c>
      <c r="F61" s="32" t="n">
        <f aca="false">F59/F60</f>
        <v>0</v>
      </c>
    </row>
    <row r="63" customFormat="false" ht="15" hidden="false" customHeight="false" outlineLevel="0" collapsed="false">
      <c r="A63" s="8" t="s">
        <v>444</v>
      </c>
      <c r="B63" s="9"/>
      <c r="C63" s="9"/>
      <c r="D63" s="9"/>
      <c r="E63" s="9"/>
      <c r="F63" s="9"/>
      <c r="G63" s="9"/>
      <c r="H63" s="9"/>
    </row>
    <row r="64" customFormat="false" ht="30" hidden="false" customHeight="true" outlineLevel="0" collapsed="false">
      <c r="B64" s="18" t="s">
        <v>382</v>
      </c>
      <c r="C64" s="18" t="s">
        <v>82</v>
      </c>
      <c r="D64" s="18" t="s">
        <v>83</v>
      </c>
      <c r="E64" s="18" t="s">
        <v>84</v>
      </c>
      <c r="F64" s="18" t="s">
        <v>85</v>
      </c>
      <c r="G64" s="18" t="s">
        <v>194</v>
      </c>
    </row>
    <row r="65" customFormat="false" ht="15" hidden="false" customHeight="false" outlineLevel="0" collapsed="false">
      <c r="B65" s="6" t="s">
        <v>445</v>
      </c>
      <c r="C65" s="56"/>
      <c r="D65" s="56"/>
      <c r="E65" s="56"/>
      <c r="F65" s="56"/>
    </row>
    <row r="66" customFormat="false" ht="15" hidden="false" customHeight="false" outlineLevel="0" collapsed="false">
      <c r="B66" s="6" t="s">
        <v>446</v>
      </c>
      <c r="C66" s="56"/>
      <c r="D66" s="56"/>
      <c r="E66" s="56"/>
      <c r="F66" s="56"/>
    </row>
    <row r="67" customFormat="false" ht="15" hidden="false" customHeight="false" outlineLevel="0" collapsed="false">
      <c r="B67" s="6" t="s">
        <v>447</v>
      </c>
      <c r="C67" s="56"/>
      <c r="D67" s="56"/>
      <c r="E67" s="56"/>
      <c r="F67" s="56"/>
    </row>
    <row r="68" customFormat="false" ht="15" hidden="false" customHeight="false" outlineLevel="0" collapsed="false">
      <c r="B68" s="6" t="s">
        <v>448</v>
      </c>
      <c r="C68" s="25" t="str">
        <f aca="false">IF(C65="","enter current HC",C29-C65)</f>
        <v>enter current HC</v>
      </c>
      <c r="D68" s="25" t="str">
        <f aca="false">IF(D65="","enter current HC",D29-D65)</f>
        <v>enter current HC</v>
      </c>
      <c r="E68" s="25" t="str">
        <f aca="false">IF(E65="","enter current HC",E29-E65)</f>
        <v>enter current HC</v>
      </c>
      <c r="F68" s="25" t="str">
        <f aca="false">IF(F65="","enter current HC",F29-F65)</f>
        <v>enter current HC</v>
      </c>
    </row>
    <row r="69" customFormat="false" ht="15" hidden="false" customHeight="false" outlineLevel="0" collapsed="false">
      <c r="B69" s="6" t="s">
        <v>449</v>
      </c>
      <c r="C69" s="25" t="str">
        <f aca="false">IF(C66="","enter current HC",C30-C66)</f>
        <v>enter current HC</v>
      </c>
      <c r="D69" s="25" t="str">
        <f aca="false">IF(D66="","enter current HC",D30-D66)</f>
        <v>enter current HC</v>
      </c>
      <c r="E69" s="25" t="str">
        <f aca="false">IF(E66="","enter current HC",E30-E66)</f>
        <v>enter current HC</v>
      </c>
      <c r="F69" s="25" t="str">
        <f aca="false">IF(F66="","enter current HC",F30-F66)</f>
        <v>enter current HC</v>
      </c>
    </row>
    <row r="70" customFormat="false" ht="15" hidden="false" customHeight="false" outlineLevel="0" collapsed="false">
      <c r="B70" s="6" t="s">
        <v>450</v>
      </c>
      <c r="C70" s="25" t="str">
        <f aca="false">IF(C67="","enter current HC",C31-C67)</f>
        <v>enter current HC</v>
      </c>
      <c r="D70" s="25" t="str">
        <f aca="false">IF(D67="","enter current HC",D31-D67)</f>
        <v>enter current HC</v>
      </c>
      <c r="E70" s="25" t="str">
        <f aca="false">IF(E67="","enter current HC",E31-E67)</f>
        <v>enter current HC</v>
      </c>
      <c r="F70" s="25" t="str">
        <f aca="false">IF(F67="","enter current HC",F31-F67)</f>
        <v>enter current HC</v>
      </c>
    </row>
    <row r="71" customFormat="false" ht="15" hidden="false" customHeight="false" outlineLevel="0" collapsed="false">
      <c r="B71" s="2" t="s">
        <v>451</v>
      </c>
    </row>
    <row r="73" customFormat="false" ht="15" hidden="false" customHeight="false" outlineLevel="0" collapsed="false">
      <c r="A73" s="8" t="s">
        <v>452</v>
      </c>
      <c r="B73" s="9"/>
      <c r="C73" s="9"/>
      <c r="D73" s="9"/>
      <c r="E73" s="9"/>
      <c r="F73" s="9"/>
      <c r="G73" s="9"/>
      <c r="H73" s="9"/>
    </row>
    <row r="74" customFormat="false" ht="30" hidden="false" customHeight="true" outlineLevel="0" collapsed="false">
      <c r="B74" s="18" t="s">
        <v>382</v>
      </c>
      <c r="C74" s="18" t="s">
        <v>82</v>
      </c>
      <c r="D74" s="18" t="s">
        <v>83</v>
      </c>
      <c r="E74" s="18" t="s">
        <v>84</v>
      </c>
      <c r="F74" s="18" t="s">
        <v>85</v>
      </c>
      <c r="G74" s="18" t="s">
        <v>194</v>
      </c>
    </row>
    <row r="75" customFormat="false" ht="15" hidden="false" customHeight="false" outlineLevel="0" collapsed="false">
      <c r="B75" s="6" t="s">
        <v>383</v>
      </c>
      <c r="C75" s="49" t="n">
        <f aca="false">Scenario_Engine!$R$36-Scenario_Engine!$H$36</f>
        <v>-0.0287581699346404</v>
      </c>
      <c r="D75" s="49" t="n">
        <f aca="false">Scenario_Engine!$S$36-Scenario_Engine!$I$36</f>
        <v>0.441176470588235</v>
      </c>
      <c r="E75" s="49" t="n">
        <f aca="false">Scenario_Engine!$T$36-Scenario_Engine!$J$36</f>
        <v>0.519887955182073</v>
      </c>
      <c r="F75" s="49" t="n">
        <f aca="false">Scenario_Engine!$U$36-Scenario_Engine!$K$36</f>
        <v>0.552156862745099</v>
      </c>
      <c r="G75" s="50" t="n">
        <f aca="false">SUM(C75:F75)</f>
        <v>1.48446311858077</v>
      </c>
    </row>
    <row r="76" customFormat="false" ht="15" hidden="false" customHeight="false" outlineLevel="0" collapsed="false">
      <c r="B76" s="6" t="s">
        <v>384</v>
      </c>
      <c r="C76" s="49" t="n">
        <f aca="false">Scenario_Engine!$R$38-Scenario_Engine!$H$38</f>
        <v>-0.0248416096962405</v>
      </c>
      <c r="D76" s="49" t="n">
        <f aca="false">Scenario_Engine!$S$38-Scenario_Engine!$I$38</f>
        <v>0.991135151378559</v>
      </c>
      <c r="E76" s="49" t="n">
        <f aca="false">Scenario_Engine!$T$38-Scenario_Engine!$J$38</f>
        <v>1.04658744062562</v>
      </c>
      <c r="F76" s="49" t="n">
        <f aca="false">Scenario_Engine!$U$38-Scenario_Engine!$K$38</f>
        <v>1.83006535947712</v>
      </c>
      <c r="G76" s="50" t="n">
        <f aca="false">SUM(C76:F76)</f>
        <v>3.84294634178507</v>
      </c>
    </row>
    <row r="77" customFormat="false" ht="15" hidden="false" customHeight="false" outlineLevel="0" collapsed="false">
      <c r="B77" s="6" t="s">
        <v>385</v>
      </c>
      <c r="C77" s="49" t="n">
        <f aca="false">Scenario_Engine!$R$42-Scenario_Engine!$H$42</f>
        <v>-0.00186312072721806</v>
      </c>
      <c r="D77" s="49" t="n">
        <f aca="false">Scenario_Engine!$S$42-Scenario_Engine!$I$42</f>
        <v>0.148670272706784</v>
      </c>
      <c r="E77" s="49" t="n">
        <f aca="false">Scenario_Engine!$T$42-Scenario_Engine!$J$42</f>
        <v>0.348862480208541</v>
      </c>
      <c r="F77" s="49" t="n">
        <f aca="false">Scenario_Engine!$U$42-Scenario_Engine!$K$42</f>
        <v>1.31764705882353</v>
      </c>
      <c r="G77" s="50" t="n">
        <f aca="false">SUM(C77:F77)</f>
        <v>1.81331669101164</v>
      </c>
    </row>
    <row r="78" customFormat="false" ht="15" hidden="false" customHeight="false" outlineLevel="0" collapsed="false">
      <c r="B78" s="2" t="s">
        <v>453</v>
      </c>
    </row>
    <row r="80" customFormat="false" ht="15" hidden="false" customHeight="false" outlineLevel="0" collapsed="false">
      <c r="A80" s="8" t="s">
        <v>454</v>
      </c>
      <c r="B80" s="9"/>
      <c r="C80" s="9"/>
      <c r="D80" s="9"/>
      <c r="E80" s="9"/>
      <c r="F80" s="9"/>
      <c r="G80" s="9"/>
      <c r="H80" s="9"/>
    </row>
    <row r="81" customFormat="false" ht="30" hidden="false" customHeight="true" outlineLevel="0" collapsed="false">
      <c r="B81" s="18" t="s">
        <v>204</v>
      </c>
      <c r="C81" s="18" t="s">
        <v>122</v>
      </c>
      <c r="D81" s="18" t="s">
        <v>123</v>
      </c>
      <c r="E81" s="18" t="s">
        <v>124</v>
      </c>
      <c r="F81" s="18" t="s">
        <v>125</v>
      </c>
      <c r="G81" s="18"/>
    </row>
    <row r="82" customFormat="false" ht="15" hidden="false" customHeight="false" outlineLevel="0" collapsed="false">
      <c r="B82" s="6" t="s">
        <v>290</v>
      </c>
      <c r="C82" s="39" t="n">
        <f aca="false">Scenario_Engine!$G$8</f>
        <v>1454.63333333333</v>
      </c>
      <c r="D82" s="39" t="n">
        <f aca="false">Scenario_Engine!$L$8</f>
        <v>1711.33333333333</v>
      </c>
      <c r="E82" s="39" t="n">
        <f aca="false">Scenario_Engine!$Q$8</f>
        <v>1711.33333333333</v>
      </c>
      <c r="F82" s="39" t="n">
        <f aca="false">Scenario_Engine!$V$8</f>
        <v>1915</v>
      </c>
    </row>
    <row r="83" customFormat="false" ht="15" hidden="false" customHeight="false" outlineLevel="0" collapsed="false">
      <c r="B83" s="6" t="s">
        <v>291</v>
      </c>
      <c r="C83" s="39" t="n">
        <f aca="false">Scenario_Engine!$G$18</f>
        <v>418.012933964921</v>
      </c>
      <c r="D83" s="39" t="n">
        <f aca="false">Scenario_Engine!$L$18</f>
        <v>500.893177956678</v>
      </c>
      <c r="E83" s="39" t="n">
        <f aca="false">Scenario_Engine!$Q$18</f>
        <v>519.119689246689</v>
      </c>
      <c r="F83" s="39" t="n">
        <f aca="false">Scenario_Engine!$V$18</f>
        <v>561.675585903252</v>
      </c>
    </row>
    <row r="84" customFormat="false" ht="15" hidden="false" customHeight="false" outlineLevel="0" collapsed="false">
      <c r="B84" s="6" t="s">
        <v>455</v>
      </c>
      <c r="C84" s="30" t="n">
        <f aca="false">Scenario_Engine!$G$28</f>
        <v>9570363.3460939</v>
      </c>
      <c r="D84" s="30" t="n">
        <f aca="false">Scenario_Engine!$L$28</f>
        <v>12849837.7059127</v>
      </c>
      <c r="E84" s="30" t="n">
        <f aca="false">Scenario_Engine!$Q$28</f>
        <v>13386567.4118253</v>
      </c>
      <c r="F84" s="30" t="n">
        <f aca="false">Scenario_Engine!$V$28</f>
        <v>16232893.3582944</v>
      </c>
    </row>
    <row r="85" customFormat="false" ht="15" hidden="false" customHeight="false" outlineLevel="0" collapsed="false">
      <c r="B85" s="6" t="s">
        <v>456</v>
      </c>
      <c r="C85" s="30" t="n">
        <f aca="false">Scenario_Engine!$G$29</f>
        <v>9406403.73333333</v>
      </c>
      <c r="D85" s="30" t="n">
        <f aca="false">Scenario_Engine!$L$29</f>
        <v>12313108</v>
      </c>
      <c r="E85" s="30" t="n">
        <f aca="false">Scenario_Engine!$Q$29</f>
        <v>12313108</v>
      </c>
      <c r="F85" s="30" t="n">
        <f aca="false">Scenario_Engine!$V$29</f>
        <v>15408432</v>
      </c>
    </row>
    <row r="86" customFormat="false" ht="15" hidden="false" customHeight="false" outlineLevel="0" collapsed="false">
      <c r="B86" s="6" t="s">
        <v>457</v>
      </c>
      <c r="C86" s="30" t="n">
        <f aca="false">Scenario_Engine!$G$30</f>
        <v>163959.612760564</v>
      </c>
      <c r="D86" s="30" t="n">
        <f aca="false">Scenario_Engine!$L$30</f>
        <v>429250.641752663</v>
      </c>
      <c r="E86" s="30" t="n">
        <f aca="false">Scenario_Engine!$Q$30</f>
        <v>858501.283505328</v>
      </c>
      <c r="F86" s="30" t="n">
        <f aca="false">Scenario_Engine!$V$30</f>
        <v>673488.904476225</v>
      </c>
    </row>
    <row r="87" customFormat="false" ht="15" hidden="false" customHeight="false" outlineLevel="0" collapsed="false">
      <c r="B87" s="6" t="s">
        <v>458</v>
      </c>
      <c r="C87" s="30" t="n">
        <f aca="false">Scenario_Engine!$G$31</f>
        <v>0</v>
      </c>
      <c r="D87" s="30" t="n">
        <f aca="false">Scenario_Engine!$L$31</f>
        <v>107479.06416</v>
      </c>
      <c r="E87" s="30" t="n">
        <f aca="false">Scenario_Engine!$Q$31</f>
        <v>214958.12832</v>
      </c>
      <c r="F87" s="30" t="n">
        <f aca="false">Scenario_Engine!$V$31</f>
        <v>150972.453818182</v>
      </c>
    </row>
    <row r="88" customFormat="false" ht="15" hidden="false" customHeight="false" outlineLevel="0" collapsed="false">
      <c r="B88" s="6" t="s">
        <v>459</v>
      </c>
      <c r="C88" s="41" t="n">
        <f aca="false">Scenario_Engine!$G$36</f>
        <v>9.50492063492063</v>
      </c>
      <c r="D88" s="41" t="n">
        <f aca="false">Scenario_Engine!$L$36</f>
        <v>11.1822595704949</v>
      </c>
      <c r="E88" s="41" t="n">
        <f aca="false">Scenario_Engine!$Q$36</f>
        <v>11.1822595704949</v>
      </c>
      <c r="F88" s="41" t="n">
        <f aca="false">Scenario_Engine!$V$36</f>
        <v>12.6667226890756</v>
      </c>
    </row>
    <row r="89" customFormat="false" ht="15" hidden="false" customHeight="false" outlineLevel="0" collapsed="false">
      <c r="B89" s="6" t="s">
        <v>460</v>
      </c>
      <c r="C89" s="41" t="n">
        <f aca="false">Scenario_Engine!$G$38</f>
        <v>21.295003749393</v>
      </c>
      <c r="D89" s="41" t="n">
        <f aca="false">Scenario_Engine!$L$38</f>
        <v>25.4326885606632</v>
      </c>
      <c r="E89" s="41" t="n">
        <f aca="false">Scenario_Engine!$Q$38</f>
        <v>26.1921745069473</v>
      </c>
      <c r="F89" s="41" t="n">
        <f aca="false">Scenario_Engine!$V$38</f>
        <v>29.2756349024483</v>
      </c>
    </row>
    <row r="90" customFormat="false" ht="15" hidden="false" customHeight="false" outlineLevel="0" collapsed="false">
      <c r="B90" s="6" t="s">
        <v>461</v>
      </c>
      <c r="C90" s="41" t="n">
        <f aca="false">Scenario_Engine!$G$42</f>
        <v>7.77537096708548</v>
      </c>
      <c r="D90" s="41" t="n">
        <f aca="false">Scenario_Engine!$L$42</f>
        <v>9.23289900752138</v>
      </c>
      <c r="E90" s="41" t="n">
        <f aca="false">Scenario_Engine!$Q$42</f>
        <v>9.40370651177479</v>
      </c>
      <c r="F90" s="41" t="n">
        <f aca="false">Scenario_Engine!$V$42</f>
        <v>11.046215698533</v>
      </c>
    </row>
    <row r="91" customFormat="false" ht="15" hidden="false" customHeight="false" outlineLevel="0" collapsed="false">
      <c r="B91" s="6" t="s">
        <v>462</v>
      </c>
      <c r="C91" s="41" t="n">
        <f aca="false">Scenario_Engine!$G$43</f>
        <v>38.5752953513991</v>
      </c>
      <c r="D91" s="41" t="n">
        <f aca="false">Scenario_Engine!$L$43</f>
        <v>45.8478471386794</v>
      </c>
      <c r="E91" s="41" t="n">
        <f aca="false">Scenario_Engine!$Q$43</f>
        <v>46.778140589217</v>
      </c>
      <c r="F91" s="41" t="n">
        <f aca="false">Scenario_Engine!$V$43</f>
        <v>52.9885732900569</v>
      </c>
    </row>
    <row r="92" customFormat="false" ht="15" hidden="false" customHeight="false" outlineLevel="0" collapsed="false">
      <c r="B92" s="6" t="s">
        <v>364</v>
      </c>
      <c r="C92" s="30" t="n">
        <f aca="false">Scenario_Engine!$G$57</f>
        <v>9301729.31360193</v>
      </c>
      <c r="D92" s="30" t="n">
        <f aca="false">Scenario_Engine!$L$57</f>
        <v>11059847.4512389</v>
      </c>
      <c r="E92" s="30" t="n">
        <f aca="false">Scenario_Engine!$Q$57</f>
        <v>11293120.4393592</v>
      </c>
      <c r="F92" s="30" t="n">
        <f aca="false">Scenario_Engine!$V$57</f>
        <v>12956769.2806648</v>
      </c>
    </row>
    <row r="93" customFormat="false" ht="15" hidden="false" customHeight="false" outlineLevel="0" collapsed="false">
      <c r="B93" s="6" t="s">
        <v>426</v>
      </c>
      <c r="C93" s="57" t="n">
        <f aca="false">Scenario_Engine!$G$58</f>
        <v>1.0288800096665</v>
      </c>
      <c r="D93" s="57" t="n">
        <f aca="false">Scenario_Engine!$L$58</f>
        <v>1.16184583580972</v>
      </c>
      <c r="E93" s="57" t="n">
        <f aca="false">Scenario_Engine!$Q$58</f>
        <v>1.18537365148166</v>
      </c>
      <c r="F93" s="57" t="n">
        <f aca="false">Scenario_Engine!$V$58</f>
        <v>1.25285038319842</v>
      </c>
    </row>
    <row r="94" customFormat="false" ht="15" hidden="false" customHeight="false" outlineLevel="0" collapsed="false">
      <c r="B94" s="6" t="s">
        <v>463</v>
      </c>
      <c r="C94" s="58" t="n">
        <f aca="false">Scenario_Engine!$G$59</f>
        <v>14.578959508468</v>
      </c>
      <c r="D94" s="58" t="n">
        <f aca="false">Scenario_Engine!$L$59</f>
        <v>12.9104908221719</v>
      </c>
      <c r="E94" s="58" t="n">
        <f aca="false">Scenario_Engine!$Q$59</f>
        <v>12.6542377428845</v>
      </c>
      <c r="F94" s="58" t="n">
        <f aca="false">Scenario_Engine!$V$59</f>
        <v>11.9726985769093</v>
      </c>
    </row>
    <row r="95" customFormat="false" ht="15" hidden="false" customHeight="false" outlineLevel="0" collapsed="false">
      <c r="B95" s="6" t="s">
        <v>464</v>
      </c>
      <c r="C95" s="30" t="n">
        <f aca="false">Scenario_Engine!$G$67</f>
        <v>156344.382776494</v>
      </c>
      <c r="D95" s="30" t="n">
        <f aca="false">Scenario_Engine!$L$67</f>
        <v>315923.893474452</v>
      </c>
      <c r="E95" s="30" t="n">
        <f aca="false">Scenario_Engine!$Q$67</f>
        <v>408281.436234415</v>
      </c>
      <c r="F95" s="30" t="n">
        <f aca="false">Scenario_Engine!$V$67</f>
        <v>356492.956522584</v>
      </c>
    </row>
    <row r="96" customFormat="false" ht="15" hidden="false" customHeight="false" outlineLevel="0" collapsed="false">
      <c r="B96" s="6" t="s">
        <v>465</v>
      </c>
      <c r="C96" s="57" t="n">
        <f aca="false">Scenario_Engine!$G$68</f>
        <v>0.555529735540356</v>
      </c>
      <c r="D96" s="57" t="n">
        <f aca="false">Scenario_Engine!$L$68</f>
        <v>1.15709112730282</v>
      </c>
      <c r="E96" s="57" t="n">
        <f aca="false">Scenario_Engine!$Q$68</f>
        <v>1.53981743266066</v>
      </c>
      <c r="F96" s="57" t="n">
        <f aca="false">Scenario_Engine!$V$68</f>
        <v>1.29820084895311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9" min="3" style="0" width="14"/>
    <col collapsed="false" customWidth="true" hidden="false" outlineLevel="0" max="10" min="10" style="0" width="50"/>
  </cols>
  <sheetData>
    <row r="1" customFormat="false" ht="17.35" hidden="false" customHeight="false" outlineLevel="0" collapsed="false">
      <c r="A1" s="1" t="s">
        <v>466</v>
      </c>
    </row>
    <row r="2" customFormat="false" ht="15" hidden="false" customHeight="false" outlineLevel="0" collapsed="false">
      <c r="A2" s="2" t="s">
        <v>467</v>
      </c>
    </row>
    <row r="4" customFormat="false" ht="15" hidden="false" customHeight="false" outlineLevel="0" collapsed="false">
      <c r="A4" s="8" t="s">
        <v>468</v>
      </c>
      <c r="B4" s="9"/>
      <c r="C4" s="9"/>
      <c r="D4" s="9"/>
      <c r="E4" s="9"/>
      <c r="F4" s="9"/>
      <c r="G4" s="9"/>
      <c r="H4" s="9"/>
      <c r="I4" s="9"/>
    </row>
    <row r="5" customFormat="false" ht="15" hidden="false" customHeight="false" outlineLevel="0" collapsed="false">
      <c r="B5" s="6" t="s">
        <v>469</v>
      </c>
      <c r="C5" s="39" t="n">
        <f aca="false">Inputs!$F$33</f>
        <v>12</v>
      </c>
    </row>
    <row r="6" customFormat="false" ht="15" hidden="false" customHeight="false" outlineLevel="0" collapsed="false">
      <c r="B6" s="6" t="s">
        <v>470</v>
      </c>
      <c r="C6" s="31" t="n">
        <f aca="false">Inputs!$C$16</f>
        <v>0.85</v>
      </c>
    </row>
    <row r="7" customFormat="false" ht="15" hidden="false" customHeight="false" outlineLevel="0" collapsed="false">
      <c r="B7" s="6" t="s">
        <v>471</v>
      </c>
      <c r="C7" s="31" t="n">
        <f aca="false">Demand!F15</f>
        <v>0.658163265306123</v>
      </c>
    </row>
    <row r="8" customFormat="false" ht="15" hidden="false" customHeight="false" outlineLevel="0" collapsed="false">
      <c r="B8" s="6" t="s">
        <v>472</v>
      </c>
      <c r="C8" s="31" t="n">
        <f aca="false">Demand!F16</f>
        <v>0.193798449612403</v>
      </c>
    </row>
    <row r="9" customFormat="false" ht="15" hidden="false" customHeight="false" outlineLevel="0" collapsed="false">
      <c r="B9" s="6" t="s">
        <v>473</v>
      </c>
      <c r="C9" s="30" t="n">
        <f aca="false">Demand!F17</f>
        <v>23143.64</v>
      </c>
    </row>
    <row r="10" customFormat="false" ht="15" hidden="false" customHeight="false" outlineLevel="0" collapsed="false">
      <c r="B10" s="6" t="s">
        <v>474</v>
      </c>
      <c r="C10" s="31" t="n">
        <f aca="false">Demand!F14</f>
        <v>0.190291262135922</v>
      </c>
    </row>
    <row r="11" customFormat="false" ht="15" hidden="false" customHeight="false" outlineLevel="0" collapsed="false">
      <c r="B11" s="6" t="s">
        <v>475</v>
      </c>
      <c r="C11" s="25" t="n">
        <f aca="false">C5*C6*C7*12</f>
        <v>80.5591836734694</v>
      </c>
    </row>
    <row r="12" customFormat="false" ht="15" hidden="false" customHeight="false" outlineLevel="0" collapsed="false">
      <c r="B12" s="6" t="s">
        <v>476</v>
      </c>
      <c r="C12" s="23" t="n">
        <f aca="false">C11*C8*C9</f>
        <v>361324.175510204</v>
      </c>
    </row>
    <row r="13" customFormat="false" ht="15" hidden="false" customHeight="false" outlineLevel="0" collapsed="false">
      <c r="B13" s="6" t="s">
        <v>477</v>
      </c>
      <c r="C13" s="29" t="n">
        <f aca="false">C5*Inputs!$F$34/Inputs!$F$35</f>
        <v>0.6</v>
      </c>
      <c r="D13" s="2" t="s">
        <v>478</v>
      </c>
    </row>
    <row r="14" customFormat="false" ht="15" hidden="false" customHeight="false" outlineLevel="0" collapsed="false">
      <c r="B14" s="6" t="s">
        <v>479</v>
      </c>
      <c r="C14" s="29" t="n">
        <f aca="false">(C5/C10)/Inputs!$F$32</f>
        <v>0.504489795918367</v>
      </c>
      <c r="D14" s="2" t="s">
        <v>480</v>
      </c>
    </row>
    <row r="15" customFormat="false" ht="15" hidden="false" customHeight="false" outlineLevel="0" collapsed="false">
      <c r="B15" s="6" t="s">
        <v>481</v>
      </c>
      <c r="C15" s="23" t="n">
        <f aca="false">Inputs!$F$37*Inputs!$C$19+C13*Inputs!$F$38*Inputs!$C$19+C14*Inputs!$C$24*Inputs!$C$19</f>
        <v>611755.102040816</v>
      </c>
    </row>
    <row r="16" customFormat="false" ht="15" hidden="false" customHeight="false" outlineLevel="0" collapsed="false">
      <c r="B16" s="6" t="s">
        <v>426</v>
      </c>
      <c r="C16" s="32" t="n">
        <f aca="false">C12/C15</f>
        <v>0.59063532826261</v>
      </c>
    </row>
    <row r="17" customFormat="false" ht="15" hidden="false" customHeight="false" outlineLevel="0" collapsed="false">
      <c r="B17" s="6" t="s">
        <v>463</v>
      </c>
      <c r="C17" s="47" t="n">
        <f aca="false">C15/(C12*Inputs!$C$20/12)</f>
        <v>25.3963812901667</v>
      </c>
    </row>
    <row r="18" customFormat="false" ht="15" hidden="false" customHeight="false" outlineLevel="0" collapsed="false">
      <c r="B18" s="6" t="s">
        <v>482</v>
      </c>
      <c r="C18" s="24" t="n">
        <f aca="false">C15*12/(Inputs!$C$20*Inputs!$C$21)/(C11*C9)</f>
        <v>0.273432184433319</v>
      </c>
      <c r="D18" s="2" t="s">
        <v>483</v>
      </c>
    </row>
    <row r="19" customFormat="false" ht="15" hidden="false" customHeight="false" outlineLevel="0" collapsed="false">
      <c r="B19" s="6" t="s">
        <v>484</v>
      </c>
      <c r="C19" s="24" t="n">
        <f aca="false">C18-C8</f>
        <v>0.0796337348209159</v>
      </c>
    </row>
    <row r="20" customFormat="false" ht="15" hidden="false" customHeight="false" outlineLevel="0" collapsed="false">
      <c r="B20" s="6" t="s">
        <v>485</v>
      </c>
      <c r="C20" s="23" t="n">
        <f aca="false">C15*12/(Inputs!$C$20*Inputs!$C$21)/(C11*C8)</f>
        <v>32653.5947712418</v>
      </c>
    </row>
    <row r="21" customFormat="false" ht="15" hidden="false" customHeight="false" outlineLevel="0" collapsed="false">
      <c r="B21" s="6" t="s">
        <v>486</v>
      </c>
      <c r="C21" s="57" t="n">
        <f aca="false">Staffing!D58</f>
        <v>2.43415988273077</v>
      </c>
      <c r="D21" s="2" t="s">
        <v>487</v>
      </c>
    </row>
    <row r="23" customFormat="false" ht="15" hidden="false" customHeight="false" outlineLevel="0" collapsed="false">
      <c r="A23" s="8" t="s">
        <v>488</v>
      </c>
      <c r="B23" s="9"/>
      <c r="C23" s="9"/>
      <c r="D23" s="9"/>
      <c r="E23" s="9"/>
      <c r="F23" s="9"/>
      <c r="G23" s="9"/>
      <c r="H23" s="9"/>
      <c r="I23" s="9"/>
    </row>
    <row r="24" customFormat="false" ht="15" hidden="false" customHeight="false" outlineLevel="0" collapsed="false">
      <c r="B24" s="6" t="s">
        <v>489</v>
      </c>
      <c r="C24" s="39" t="n">
        <f aca="false">Inputs!$C$47</f>
        <v>2</v>
      </c>
    </row>
    <row r="25" customFormat="false" ht="15" hidden="false" customHeight="false" outlineLevel="0" collapsed="false">
      <c r="B25" s="6" t="s">
        <v>490</v>
      </c>
      <c r="C25" s="22" t="n">
        <f aca="false">C24</f>
        <v>2</v>
      </c>
    </row>
    <row r="26" customFormat="false" ht="15" hidden="false" customHeight="false" outlineLevel="0" collapsed="false">
      <c r="B26" s="6" t="s">
        <v>491</v>
      </c>
      <c r="C26" s="39" t="n">
        <f aca="false">Inputs!$C$48</f>
        <v>6</v>
      </c>
    </row>
    <row r="27" customFormat="false" ht="15" hidden="false" customHeight="false" outlineLevel="0" collapsed="false">
      <c r="B27" s="6" t="s">
        <v>492</v>
      </c>
      <c r="C27" s="25" t="n">
        <f aca="false">C24*C5*C6*C7*C26</f>
        <v>80.5591836734694</v>
      </c>
    </row>
    <row r="28" customFormat="false" ht="15" hidden="false" customHeight="false" outlineLevel="0" collapsed="false">
      <c r="B28" s="6" t="s">
        <v>493</v>
      </c>
      <c r="C28" s="24" t="n">
        <f aca="false">SQRT(C8*(1-C8)/C27)</f>
        <v>0.0440392014372344</v>
      </c>
      <c r="D28" s="2" t="s">
        <v>494</v>
      </c>
    </row>
    <row r="29" customFormat="false" ht="15" hidden="false" customHeight="false" outlineLevel="0" collapsed="false">
      <c r="B29" s="6" t="s">
        <v>495</v>
      </c>
      <c r="C29" s="24" t="n">
        <f aca="false">2*C28</f>
        <v>0.0880784028744688</v>
      </c>
    </row>
    <row r="30" customFormat="false" ht="15" hidden="false" customHeight="false" outlineLevel="0" collapsed="false">
      <c r="B30" s="6" t="s">
        <v>496</v>
      </c>
      <c r="C30" s="23" t="n">
        <f aca="false">(C25-C24*C13)*Inputs!$F$38*Inputs!$C$19*C26/12</f>
        <v>120000</v>
      </c>
    </row>
    <row r="31" customFormat="false" ht="15" hidden="false" customHeight="false" outlineLevel="0" collapsed="false">
      <c r="B31" s="6" t="s">
        <v>497</v>
      </c>
      <c r="C31" s="24" t="n">
        <f aca="false">C18</f>
        <v>0.273432184433319</v>
      </c>
      <c r="D31" s="2" t="s">
        <v>498</v>
      </c>
    </row>
    <row r="32" customFormat="false" ht="15" hidden="false" customHeight="false" outlineLevel="0" collapsed="false">
      <c r="B32" s="6" t="s">
        <v>499</v>
      </c>
      <c r="C32" s="23" t="n">
        <f aca="false">C9</f>
        <v>23143.64</v>
      </c>
      <c r="D32" s="2" t="s">
        <v>500</v>
      </c>
    </row>
    <row r="33" customFormat="false" ht="15" hidden="false" customHeight="false" outlineLevel="0" collapsed="false">
      <c r="B33" s="2" t="s">
        <v>501</v>
      </c>
    </row>
    <row r="35" customFormat="false" ht="15" hidden="false" customHeight="false" outlineLevel="0" collapsed="false">
      <c r="A35" s="8" t="s">
        <v>502</v>
      </c>
      <c r="B35" s="9"/>
      <c r="C35" s="9"/>
      <c r="D35" s="9"/>
      <c r="E35" s="9"/>
      <c r="F35" s="9"/>
      <c r="G35" s="9"/>
      <c r="H35" s="9"/>
      <c r="I35" s="9"/>
    </row>
    <row r="36" customFormat="false" ht="15" hidden="false" customHeight="false" outlineLevel="0" collapsed="false">
      <c r="B36" s="3" t="s">
        <v>503</v>
      </c>
      <c r="C36" s="20" t="n">
        <v>18000</v>
      </c>
      <c r="D36" s="20" t="n">
        <v>21000</v>
      </c>
      <c r="E36" s="20" t="n">
        <v>24000</v>
      </c>
      <c r="F36" s="20" t="n">
        <v>27000</v>
      </c>
      <c r="G36" s="20" t="n">
        <v>30000</v>
      </c>
      <c r="H36" s="20" t="n">
        <v>35000</v>
      </c>
    </row>
    <row r="37" customFormat="false" ht="15" hidden="false" customHeight="false" outlineLevel="0" collapsed="false">
      <c r="B37" s="15" t="n">
        <v>0.15</v>
      </c>
      <c r="C37" s="47" t="n">
        <f aca="false">$C$15/($C$11*$B37*C$36*Inputs!$C$20/12)</f>
        <v>42.1881069395889</v>
      </c>
      <c r="D37" s="47" t="n">
        <f aca="false">$C$15/($C$11*$B37*D$36*Inputs!$C$20/12)</f>
        <v>36.1612345196477</v>
      </c>
      <c r="E37" s="47" t="n">
        <f aca="false">$C$15/($C$11*$B37*E$36*Inputs!$C$20/12)</f>
        <v>31.6410802046917</v>
      </c>
      <c r="F37" s="47" t="n">
        <f aca="false">$C$15/($C$11*$B37*F$36*Inputs!$C$20/12)</f>
        <v>28.1254046263926</v>
      </c>
      <c r="G37" s="47" t="n">
        <f aca="false">$C$15/($C$11*$B37*G$36*Inputs!$C$20/12)</f>
        <v>25.3128641637534</v>
      </c>
      <c r="H37" s="47" t="n">
        <f aca="false">$C$15/($C$11*$B37*H$36*Inputs!$C$20/12)</f>
        <v>21.6967407117886</v>
      </c>
    </row>
    <row r="38" customFormat="false" ht="15" hidden="false" customHeight="false" outlineLevel="0" collapsed="false">
      <c r="B38" s="15" t="n">
        <v>0.175</v>
      </c>
      <c r="C38" s="47" t="n">
        <f aca="false">$C$15/($C$11*$B38*C$36*Inputs!$C$20/12)</f>
        <v>36.1612345196477</v>
      </c>
      <c r="D38" s="47" t="n">
        <f aca="false">$C$15/($C$11*$B38*D$36*Inputs!$C$20/12)</f>
        <v>30.9953438739837</v>
      </c>
      <c r="E38" s="47" t="n">
        <f aca="false">$C$15/($C$11*$B38*E$36*Inputs!$C$20/12)</f>
        <v>27.1209258897357</v>
      </c>
      <c r="F38" s="47" t="n">
        <f aca="false">$C$15/($C$11*$B38*F$36*Inputs!$C$20/12)</f>
        <v>24.1074896797651</v>
      </c>
      <c r="G38" s="47" t="n">
        <f aca="false">$C$15/($C$11*$B38*G$36*Inputs!$C$20/12)</f>
        <v>21.6967407117886</v>
      </c>
      <c r="H38" s="47" t="n">
        <f aca="false">$C$15/($C$11*$B38*H$36*Inputs!$C$20/12)</f>
        <v>18.5972063243902</v>
      </c>
    </row>
    <row r="39" customFormat="false" ht="15" hidden="false" customHeight="false" outlineLevel="0" collapsed="false">
      <c r="B39" s="15" t="n">
        <v>0.2</v>
      </c>
      <c r="C39" s="47" t="n">
        <f aca="false">$C$15/($C$11*$B39*C$36*Inputs!$C$20/12)</f>
        <v>31.6410802046917</v>
      </c>
      <c r="D39" s="47" t="n">
        <f aca="false">$C$15/($C$11*$B39*D$36*Inputs!$C$20/12)</f>
        <v>27.1209258897357</v>
      </c>
      <c r="E39" s="47" t="n">
        <f aca="false">$C$15/($C$11*$B39*E$36*Inputs!$C$20/12)</f>
        <v>23.7308101535188</v>
      </c>
      <c r="F39" s="47" t="n">
        <f aca="false">$C$15/($C$11*$B39*F$36*Inputs!$C$20/12)</f>
        <v>21.0940534697945</v>
      </c>
      <c r="G39" s="47" t="n">
        <f aca="false">$C$15/($C$11*$B39*G$36*Inputs!$C$20/12)</f>
        <v>18.984648122815</v>
      </c>
      <c r="H39" s="47" t="n">
        <f aca="false">$C$15/($C$11*$B39*H$36*Inputs!$C$20/12)</f>
        <v>16.2725555338414</v>
      </c>
    </row>
    <row r="40" customFormat="false" ht="15" hidden="false" customHeight="false" outlineLevel="0" collapsed="false">
      <c r="B40" s="15" t="n">
        <v>0.225</v>
      </c>
      <c r="C40" s="47" t="n">
        <f aca="false">$C$15/($C$11*$B40*C$36*Inputs!$C$20/12)</f>
        <v>28.1254046263926</v>
      </c>
      <c r="D40" s="47" t="n">
        <f aca="false">$C$15/($C$11*$B40*D$36*Inputs!$C$20/12)</f>
        <v>24.1074896797651</v>
      </c>
      <c r="E40" s="47" t="n">
        <f aca="false">$C$15/($C$11*$B40*E$36*Inputs!$C$20/12)</f>
        <v>21.0940534697945</v>
      </c>
      <c r="F40" s="47" t="n">
        <f aca="false">$C$15/($C$11*$B40*F$36*Inputs!$C$20/12)</f>
        <v>18.7502697509284</v>
      </c>
      <c r="G40" s="47" t="n">
        <f aca="false">$C$15/($C$11*$B40*G$36*Inputs!$C$20/12)</f>
        <v>16.8752427758356</v>
      </c>
      <c r="H40" s="47" t="n">
        <f aca="false">$C$15/($C$11*$B40*H$36*Inputs!$C$20/12)</f>
        <v>14.4644938078591</v>
      </c>
    </row>
    <row r="41" customFormat="false" ht="15" hidden="false" customHeight="false" outlineLevel="0" collapsed="false">
      <c r="B41" s="15" t="n">
        <v>0.25</v>
      </c>
      <c r="C41" s="47" t="n">
        <f aca="false">$C$15/($C$11*$B41*C$36*Inputs!$C$20/12)</f>
        <v>25.3128641637534</v>
      </c>
      <c r="D41" s="47" t="n">
        <f aca="false">$C$15/($C$11*$B41*D$36*Inputs!$C$20/12)</f>
        <v>21.6967407117886</v>
      </c>
      <c r="E41" s="47" t="n">
        <f aca="false">$C$15/($C$11*$B41*E$36*Inputs!$C$20/12)</f>
        <v>18.984648122815</v>
      </c>
      <c r="F41" s="47" t="n">
        <f aca="false">$C$15/($C$11*$B41*F$36*Inputs!$C$20/12)</f>
        <v>16.8752427758356</v>
      </c>
      <c r="G41" s="47" t="n">
        <f aca="false">$C$15/($C$11*$B41*G$36*Inputs!$C$20/12)</f>
        <v>15.187718498252</v>
      </c>
      <c r="H41" s="47" t="n">
        <f aca="false">$C$15/($C$11*$B41*H$36*Inputs!$C$20/12)</f>
        <v>13.0180444270732</v>
      </c>
    </row>
    <row r="42" customFormat="false" ht="15" hidden="false" customHeight="false" outlineLevel="0" collapsed="false">
      <c r="B42" s="15" t="n">
        <v>0.275</v>
      </c>
      <c r="C42" s="47" t="n">
        <f aca="false">$C$15/($C$11*$B42*C$36*Inputs!$C$20/12)</f>
        <v>23.0116946943212</v>
      </c>
      <c r="D42" s="47" t="n">
        <f aca="false">$C$15/($C$11*$B42*D$36*Inputs!$C$20/12)</f>
        <v>19.7243097379896</v>
      </c>
      <c r="E42" s="47" t="n">
        <f aca="false">$C$15/($C$11*$B42*E$36*Inputs!$C$20/12)</f>
        <v>17.2587710207409</v>
      </c>
      <c r="F42" s="47" t="n">
        <f aca="false">$C$15/($C$11*$B42*F$36*Inputs!$C$20/12)</f>
        <v>15.3411297962142</v>
      </c>
      <c r="G42" s="47" t="n">
        <f aca="false">$C$15/($C$11*$B42*G$36*Inputs!$C$20/12)</f>
        <v>13.8070168165927</v>
      </c>
      <c r="H42" s="47" t="n">
        <f aca="false">$C$15/($C$11*$B42*H$36*Inputs!$C$20/12)</f>
        <v>11.8345858427938</v>
      </c>
    </row>
    <row r="43" customFormat="false" ht="15" hidden="false" customHeight="false" outlineLevel="0" collapsed="false">
      <c r="B43" s="15" t="n">
        <v>0.3</v>
      </c>
      <c r="C43" s="47" t="n">
        <f aca="false">$C$15/($C$11*$B43*C$36*Inputs!$C$20/12)</f>
        <v>21.0940534697945</v>
      </c>
      <c r="D43" s="47" t="n">
        <f aca="false">$C$15/($C$11*$B43*D$36*Inputs!$C$20/12)</f>
        <v>18.0806172598238</v>
      </c>
      <c r="E43" s="47" t="n">
        <f aca="false">$C$15/($C$11*$B43*E$36*Inputs!$C$20/12)</f>
        <v>15.8205401023458</v>
      </c>
      <c r="F43" s="47" t="n">
        <f aca="false">$C$15/($C$11*$B43*F$36*Inputs!$C$20/12)</f>
        <v>14.0627023131963</v>
      </c>
      <c r="G43" s="47" t="n">
        <f aca="false">$C$15/($C$11*$B43*G$36*Inputs!$C$20/12)</f>
        <v>12.6564320818767</v>
      </c>
      <c r="H43" s="47" t="n">
        <f aca="false">$C$15/($C$11*$B43*H$36*Inputs!$C$20/12)</f>
        <v>10.8483703558943</v>
      </c>
    </row>
    <row r="45" customFormat="false" ht="15" hidden="false" customHeight="false" outlineLevel="0" collapsed="false">
      <c r="A45" s="8" t="s">
        <v>504</v>
      </c>
      <c r="B45" s="9"/>
      <c r="C45" s="9"/>
      <c r="D45" s="9"/>
      <c r="E45" s="9"/>
      <c r="F45" s="9"/>
      <c r="G45" s="9"/>
      <c r="H45" s="9"/>
      <c r="I45" s="9"/>
    </row>
    <row r="46" customFormat="false" ht="15" hidden="false" customHeight="false" outlineLevel="0" collapsed="false">
      <c r="B46" s="3" t="s">
        <v>505</v>
      </c>
      <c r="C46" s="13" t="n">
        <v>8</v>
      </c>
      <c r="D46" s="13" t="n">
        <v>10</v>
      </c>
      <c r="E46" s="13" t="n">
        <v>12</v>
      </c>
      <c r="F46" s="13" t="n">
        <v>15</v>
      </c>
      <c r="G46" s="13" t="n">
        <v>18</v>
      </c>
      <c r="H46" s="13" t="n">
        <v>20</v>
      </c>
    </row>
    <row r="47" customFormat="false" ht="15" hidden="false" customHeight="false" outlineLevel="0" collapsed="false">
      <c r="B47" s="15" t="n">
        <v>0.15</v>
      </c>
      <c r="C47" s="47" t="n">
        <f aca="false">(Inputs!$F$37*Inputs!$C$19+C$46*Inputs!$F$34/Inputs!$F$35*Inputs!$F$38*Inputs!$C$19+(C$46/$C$10)/Inputs!$F$32*Inputs!$C$24*Inputs!$C$19)/(C$46*$C$6*$C$7*12*$B47*$C$9*Inputs!$C$20/12)</f>
        <v>42.8685402524191</v>
      </c>
      <c r="D47" s="47" t="n">
        <f aca="false">(Inputs!$F$37*Inputs!$C$19+D$46*Inputs!$F$34/Inputs!$F$35*Inputs!$F$38*Inputs!$C$19+(D$46/$C$10)/Inputs!$F$32*Inputs!$C$24*Inputs!$C$19)/(D$46*$C$6*$C$7*12*$B47*$C$9*Inputs!$C$20/12)</f>
        <v>36.8345333801666</v>
      </c>
      <c r="E47" s="47" t="n">
        <f aca="false">(Inputs!$F$37*Inputs!$C$19+E$46*Inputs!$F$34/Inputs!$F$35*Inputs!$F$38*Inputs!$C$19+(E$46/$C$10)/Inputs!$F$32*Inputs!$C$24*Inputs!$C$19)/(E$46*$C$6*$C$7*12*$B47*$C$9*Inputs!$C$20/12)</f>
        <v>32.8118621319983</v>
      </c>
      <c r="F47" s="47" t="n">
        <f aca="false">(Inputs!$F$37*Inputs!$C$19+F$46*Inputs!$F$34/Inputs!$F$35*Inputs!$F$38*Inputs!$C$19+(F$46/$C$10)/Inputs!$F$32*Inputs!$C$24*Inputs!$C$19)/(F$46*$C$6*$C$7*12*$B47*$C$9*Inputs!$C$20/12)</f>
        <v>28.78919088383</v>
      </c>
      <c r="G47" s="47" t="n">
        <f aca="false">(Inputs!$F$37*Inputs!$C$19+G$46*Inputs!$F$34/Inputs!$F$35*Inputs!$F$38*Inputs!$C$19+(G$46/$C$10)/Inputs!$F$32*Inputs!$C$24*Inputs!$C$19)/(G$46*$C$6*$C$7*12*$B47*$C$9*Inputs!$C$20/12)</f>
        <v>26.1074100517177</v>
      </c>
      <c r="H47" s="47" t="n">
        <f aca="false">(Inputs!$F$37*Inputs!$C$19+H$46*Inputs!$F$34/Inputs!$F$35*Inputs!$F$38*Inputs!$C$19+(H$46/$C$10)/Inputs!$F$32*Inputs!$C$24*Inputs!$C$19)/(H$46*$C$6*$C$7*12*$B47*$C$9*Inputs!$C$20/12)</f>
        <v>24.7665196356616</v>
      </c>
    </row>
    <row r="48" customFormat="false" ht="15" hidden="false" customHeight="false" outlineLevel="0" collapsed="false">
      <c r="B48" s="15" t="n">
        <v>0.175</v>
      </c>
      <c r="C48" s="47" t="n">
        <f aca="false">(Inputs!$F$37*Inputs!$C$19+C$46*Inputs!$F$34/Inputs!$F$35*Inputs!$F$38*Inputs!$C$19+(C$46/$C$10)/Inputs!$F$32*Inputs!$C$24*Inputs!$C$19)/(C$46*$C$6*$C$7*12*$B48*$C$9*Inputs!$C$20/12)</f>
        <v>36.7444630735021</v>
      </c>
      <c r="D48" s="47" t="n">
        <f aca="false">(Inputs!$F$37*Inputs!$C$19+D$46*Inputs!$F$34/Inputs!$F$35*Inputs!$F$38*Inputs!$C$19+(D$46/$C$10)/Inputs!$F$32*Inputs!$C$24*Inputs!$C$19)/(D$46*$C$6*$C$7*12*$B48*$C$9*Inputs!$C$20/12)</f>
        <v>31.572457183</v>
      </c>
      <c r="E48" s="47" t="n">
        <f aca="false">(Inputs!$F$37*Inputs!$C$19+E$46*Inputs!$F$34/Inputs!$F$35*Inputs!$F$38*Inputs!$C$19+(E$46/$C$10)/Inputs!$F$32*Inputs!$C$24*Inputs!$C$19)/(E$46*$C$6*$C$7*12*$B48*$C$9*Inputs!$C$20/12)</f>
        <v>28.1244532559985</v>
      </c>
      <c r="F48" s="47" t="n">
        <f aca="false">(Inputs!$F$37*Inputs!$C$19+F$46*Inputs!$F$34/Inputs!$F$35*Inputs!$F$38*Inputs!$C$19+(F$46/$C$10)/Inputs!$F$32*Inputs!$C$24*Inputs!$C$19)/(F$46*$C$6*$C$7*12*$B48*$C$9*Inputs!$C$20/12)</f>
        <v>24.6764493289971</v>
      </c>
      <c r="G48" s="47" t="n">
        <f aca="false">(Inputs!$F$37*Inputs!$C$19+G$46*Inputs!$F$34/Inputs!$F$35*Inputs!$F$38*Inputs!$C$19+(G$46/$C$10)/Inputs!$F$32*Inputs!$C$24*Inputs!$C$19)/(G$46*$C$6*$C$7*12*$B48*$C$9*Inputs!$C$20/12)</f>
        <v>22.3777800443295</v>
      </c>
      <c r="H48" s="47" t="n">
        <f aca="false">(Inputs!$F$37*Inputs!$C$19+H$46*Inputs!$F$34/Inputs!$F$35*Inputs!$F$38*Inputs!$C$19+(H$46/$C$10)/Inputs!$F$32*Inputs!$C$24*Inputs!$C$19)/(H$46*$C$6*$C$7*12*$B48*$C$9*Inputs!$C$20/12)</f>
        <v>21.2284454019957</v>
      </c>
    </row>
    <row r="49" customFormat="false" ht="15" hidden="false" customHeight="false" outlineLevel="0" collapsed="false">
      <c r="B49" s="15" t="n">
        <v>0.2</v>
      </c>
      <c r="C49" s="47" t="n">
        <f aca="false">(Inputs!$F$37*Inputs!$C$19+C$46*Inputs!$F$34/Inputs!$F$35*Inputs!$F$38*Inputs!$C$19+(C$46/$C$10)/Inputs!$F$32*Inputs!$C$24*Inputs!$C$19)/(C$46*$C$6*$C$7*12*$B49*$C$9*Inputs!$C$20/12)</f>
        <v>32.1514051893143</v>
      </c>
      <c r="D49" s="47" t="n">
        <f aca="false">(Inputs!$F$37*Inputs!$C$19+D$46*Inputs!$F$34/Inputs!$F$35*Inputs!$F$38*Inputs!$C$19+(D$46/$C$10)/Inputs!$F$32*Inputs!$C$24*Inputs!$C$19)/(D$46*$C$6*$C$7*12*$B49*$C$9*Inputs!$C$20/12)</f>
        <v>27.625900035125</v>
      </c>
      <c r="E49" s="47" t="n">
        <f aca="false">(Inputs!$F$37*Inputs!$C$19+E$46*Inputs!$F$34/Inputs!$F$35*Inputs!$F$38*Inputs!$C$19+(E$46/$C$10)/Inputs!$F$32*Inputs!$C$24*Inputs!$C$19)/(E$46*$C$6*$C$7*12*$B49*$C$9*Inputs!$C$20/12)</f>
        <v>24.6088965989987</v>
      </c>
      <c r="F49" s="47" t="n">
        <f aca="false">(Inputs!$F$37*Inputs!$C$19+F$46*Inputs!$F$34/Inputs!$F$35*Inputs!$F$38*Inputs!$C$19+(F$46/$C$10)/Inputs!$F$32*Inputs!$C$24*Inputs!$C$19)/(F$46*$C$6*$C$7*12*$B49*$C$9*Inputs!$C$20/12)</f>
        <v>21.5918931628725</v>
      </c>
      <c r="G49" s="47" t="n">
        <f aca="false">(Inputs!$F$37*Inputs!$C$19+G$46*Inputs!$F$34/Inputs!$F$35*Inputs!$F$38*Inputs!$C$19+(G$46/$C$10)/Inputs!$F$32*Inputs!$C$24*Inputs!$C$19)/(G$46*$C$6*$C$7*12*$B49*$C$9*Inputs!$C$20/12)</f>
        <v>19.5805575387883</v>
      </c>
      <c r="H49" s="47" t="n">
        <f aca="false">(Inputs!$F$37*Inputs!$C$19+H$46*Inputs!$F$34/Inputs!$F$35*Inputs!$F$38*Inputs!$C$19+(H$46/$C$10)/Inputs!$F$32*Inputs!$C$24*Inputs!$C$19)/(H$46*$C$6*$C$7*12*$B49*$C$9*Inputs!$C$20/12)</f>
        <v>18.5748897267462</v>
      </c>
    </row>
    <row r="50" customFormat="false" ht="15" hidden="false" customHeight="false" outlineLevel="0" collapsed="false">
      <c r="B50" s="15" t="n">
        <v>0.225</v>
      </c>
      <c r="C50" s="47" t="n">
        <f aca="false">(Inputs!$F$37*Inputs!$C$19+C$46*Inputs!$F$34/Inputs!$F$35*Inputs!$F$38*Inputs!$C$19+(C$46/$C$10)/Inputs!$F$32*Inputs!$C$24*Inputs!$C$19)/(C$46*$C$6*$C$7*12*$B50*$C$9*Inputs!$C$20/12)</f>
        <v>28.5790268349461</v>
      </c>
      <c r="D50" s="47" t="n">
        <f aca="false">(Inputs!$F$37*Inputs!$C$19+D$46*Inputs!$F$34/Inputs!$F$35*Inputs!$F$38*Inputs!$C$19+(D$46/$C$10)/Inputs!$F$32*Inputs!$C$24*Inputs!$C$19)/(D$46*$C$6*$C$7*12*$B50*$C$9*Inputs!$C$20/12)</f>
        <v>24.5563555867777</v>
      </c>
      <c r="E50" s="47" t="n">
        <f aca="false">(Inputs!$F$37*Inputs!$C$19+E$46*Inputs!$F$34/Inputs!$F$35*Inputs!$F$38*Inputs!$C$19+(E$46/$C$10)/Inputs!$F$32*Inputs!$C$24*Inputs!$C$19)/(E$46*$C$6*$C$7*12*$B50*$C$9*Inputs!$C$20/12)</f>
        <v>21.8745747546655</v>
      </c>
      <c r="F50" s="47" t="n">
        <f aca="false">(Inputs!$F$37*Inputs!$C$19+F$46*Inputs!$F$34/Inputs!$F$35*Inputs!$F$38*Inputs!$C$19+(F$46/$C$10)/Inputs!$F$32*Inputs!$C$24*Inputs!$C$19)/(F$46*$C$6*$C$7*12*$B50*$C$9*Inputs!$C$20/12)</f>
        <v>19.1927939225533</v>
      </c>
      <c r="G50" s="47" t="n">
        <f aca="false">(Inputs!$F$37*Inputs!$C$19+G$46*Inputs!$F$34/Inputs!$F$35*Inputs!$F$38*Inputs!$C$19+(G$46/$C$10)/Inputs!$F$32*Inputs!$C$24*Inputs!$C$19)/(G$46*$C$6*$C$7*12*$B50*$C$9*Inputs!$C$20/12)</f>
        <v>17.4049400344785</v>
      </c>
      <c r="H50" s="47" t="n">
        <f aca="false">(Inputs!$F$37*Inputs!$C$19+H$46*Inputs!$F$34/Inputs!$F$35*Inputs!$F$38*Inputs!$C$19+(H$46/$C$10)/Inputs!$F$32*Inputs!$C$24*Inputs!$C$19)/(H$46*$C$6*$C$7*12*$B50*$C$9*Inputs!$C$20/12)</f>
        <v>16.5110130904411</v>
      </c>
    </row>
    <row r="51" customFormat="false" ht="15" hidden="false" customHeight="false" outlineLevel="0" collapsed="false">
      <c r="B51" s="15" t="n">
        <v>0.25</v>
      </c>
      <c r="C51" s="47" t="n">
        <f aca="false">(Inputs!$F$37*Inputs!$C$19+C$46*Inputs!$F$34/Inputs!$F$35*Inputs!$F$38*Inputs!$C$19+(C$46/$C$10)/Inputs!$F$32*Inputs!$C$24*Inputs!$C$19)/(C$46*$C$6*$C$7*12*$B51*$C$9*Inputs!$C$20/12)</f>
        <v>25.7211241514515</v>
      </c>
      <c r="D51" s="47" t="n">
        <f aca="false">(Inputs!$F$37*Inputs!$C$19+D$46*Inputs!$F$34/Inputs!$F$35*Inputs!$F$38*Inputs!$C$19+(D$46/$C$10)/Inputs!$F$32*Inputs!$C$24*Inputs!$C$19)/(D$46*$C$6*$C$7*12*$B51*$C$9*Inputs!$C$20/12)</f>
        <v>22.1007200281</v>
      </c>
      <c r="E51" s="47" t="n">
        <f aca="false">(Inputs!$F$37*Inputs!$C$19+E$46*Inputs!$F$34/Inputs!$F$35*Inputs!$F$38*Inputs!$C$19+(E$46/$C$10)/Inputs!$F$32*Inputs!$C$24*Inputs!$C$19)/(E$46*$C$6*$C$7*12*$B51*$C$9*Inputs!$C$20/12)</f>
        <v>19.687117279199</v>
      </c>
      <c r="F51" s="47" t="n">
        <f aca="false">(Inputs!$F$37*Inputs!$C$19+F$46*Inputs!$F$34/Inputs!$F$35*Inputs!$F$38*Inputs!$C$19+(F$46/$C$10)/Inputs!$F$32*Inputs!$C$24*Inputs!$C$19)/(F$46*$C$6*$C$7*12*$B51*$C$9*Inputs!$C$20/12)</f>
        <v>17.273514530298</v>
      </c>
      <c r="G51" s="47" t="n">
        <f aca="false">(Inputs!$F$37*Inputs!$C$19+G$46*Inputs!$F$34/Inputs!$F$35*Inputs!$F$38*Inputs!$C$19+(G$46/$C$10)/Inputs!$F$32*Inputs!$C$24*Inputs!$C$19)/(G$46*$C$6*$C$7*12*$B51*$C$9*Inputs!$C$20/12)</f>
        <v>15.6644460310306</v>
      </c>
      <c r="H51" s="47" t="n">
        <f aca="false">(Inputs!$F$37*Inputs!$C$19+H$46*Inputs!$F$34/Inputs!$F$35*Inputs!$F$38*Inputs!$C$19+(H$46/$C$10)/Inputs!$F$32*Inputs!$C$24*Inputs!$C$19)/(H$46*$C$6*$C$7*12*$B51*$C$9*Inputs!$C$20/12)</f>
        <v>14.859911781397</v>
      </c>
    </row>
    <row r="52" customFormat="false" ht="15" hidden="false" customHeight="false" outlineLevel="0" collapsed="false">
      <c r="B52" s="15" t="n">
        <v>0.275</v>
      </c>
      <c r="C52" s="47" t="n">
        <f aca="false">(Inputs!$F$37*Inputs!$C$19+C$46*Inputs!$F$34/Inputs!$F$35*Inputs!$F$38*Inputs!$C$19+(C$46/$C$10)/Inputs!$F$32*Inputs!$C$24*Inputs!$C$19)/(C$46*$C$6*$C$7*12*$B52*$C$9*Inputs!$C$20/12)</f>
        <v>23.3828401376831</v>
      </c>
      <c r="D52" s="47" t="n">
        <f aca="false">(Inputs!$F$37*Inputs!$C$19+D$46*Inputs!$F$34/Inputs!$F$35*Inputs!$F$38*Inputs!$C$19+(D$46/$C$10)/Inputs!$F$32*Inputs!$C$24*Inputs!$C$19)/(D$46*$C$6*$C$7*12*$B52*$C$9*Inputs!$C$20/12)</f>
        <v>20.0915636619091</v>
      </c>
      <c r="E52" s="47" t="n">
        <f aca="false">(Inputs!$F$37*Inputs!$C$19+E$46*Inputs!$F$34/Inputs!$F$35*Inputs!$F$38*Inputs!$C$19+(E$46/$C$10)/Inputs!$F$32*Inputs!$C$24*Inputs!$C$19)/(E$46*$C$6*$C$7*12*$B52*$C$9*Inputs!$C$20/12)</f>
        <v>17.8973793447263</v>
      </c>
      <c r="F52" s="47" t="n">
        <f aca="false">(Inputs!$F$37*Inputs!$C$19+F$46*Inputs!$F$34/Inputs!$F$35*Inputs!$F$38*Inputs!$C$19+(F$46/$C$10)/Inputs!$F$32*Inputs!$C$24*Inputs!$C$19)/(F$46*$C$6*$C$7*12*$B52*$C$9*Inputs!$C$20/12)</f>
        <v>15.7031950275436</v>
      </c>
      <c r="G52" s="47" t="n">
        <f aca="false">(Inputs!$F$37*Inputs!$C$19+G$46*Inputs!$F$34/Inputs!$F$35*Inputs!$F$38*Inputs!$C$19+(G$46/$C$10)/Inputs!$F$32*Inputs!$C$24*Inputs!$C$19)/(G$46*$C$6*$C$7*12*$B52*$C$9*Inputs!$C$20/12)</f>
        <v>14.2404054827551</v>
      </c>
      <c r="H52" s="47" t="n">
        <f aca="false">(Inputs!$F$37*Inputs!$C$19+H$46*Inputs!$F$34/Inputs!$F$35*Inputs!$F$38*Inputs!$C$19+(H$46/$C$10)/Inputs!$F$32*Inputs!$C$24*Inputs!$C$19)/(H$46*$C$6*$C$7*12*$B52*$C$9*Inputs!$C$20/12)</f>
        <v>13.5090107103609</v>
      </c>
    </row>
    <row r="53" customFormat="false" ht="15" hidden="false" customHeight="false" outlineLevel="0" collapsed="false">
      <c r="B53" s="15" t="n">
        <v>0.3</v>
      </c>
      <c r="C53" s="47" t="n">
        <f aca="false">(Inputs!$F$37*Inputs!$C$19+C$46*Inputs!$F$34/Inputs!$F$35*Inputs!$F$38*Inputs!$C$19+(C$46/$C$10)/Inputs!$F$32*Inputs!$C$24*Inputs!$C$19)/(C$46*$C$6*$C$7*12*$B53*$C$9*Inputs!$C$20/12)</f>
        <v>21.4342701262095</v>
      </c>
      <c r="D53" s="47" t="n">
        <f aca="false">(Inputs!$F$37*Inputs!$C$19+D$46*Inputs!$F$34/Inputs!$F$35*Inputs!$F$38*Inputs!$C$19+(D$46/$C$10)/Inputs!$F$32*Inputs!$C$24*Inputs!$C$19)/(D$46*$C$6*$C$7*12*$B53*$C$9*Inputs!$C$20/12)</f>
        <v>18.4172666900833</v>
      </c>
      <c r="E53" s="47" t="n">
        <f aca="false">(Inputs!$F$37*Inputs!$C$19+E$46*Inputs!$F$34/Inputs!$F$35*Inputs!$F$38*Inputs!$C$19+(E$46/$C$10)/Inputs!$F$32*Inputs!$C$24*Inputs!$C$19)/(E$46*$C$6*$C$7*12*$B53*$C$9*Inputs!$C$20/12)</f>
        <v>16.4059310659991</v>
      </c>
      <c r="F53" s="47" t="n">
        <f aca="false">(Inputs!$F$37*Inputs!$C$19+F$46*Inputs!$F$34/Inputs!$F$35*Inputs!$F$38*Inputs!$C$19+(F$46/$C$10)/Inputs!$F$32*Inputs!$C$24*Inputs!$C$19)/(F$46*$C$6*$C$7*12*$B53*$C$9*Inputs!$C$20/12)</f>
        <v>14.394595441915</v>
      </c>
      <c r="G53" s="47" t="n">
        <f aca="false">(Inputs!$F$37*Inputs!$C$19+G$46*Inputs!$F$34/Inputs!$F$35*Inputs!$F$38*Inputs!$C$19+(G$46/$C$10)/Inputs!$F$32*Inputs!$C$24*Inputs!$C$19)/(G$46*$C$6*$C$7*12*$B53*$C$9*Inputs!$C$20/12)</f>
        <v>13.0537050258589</v>
      </c>
      <c r="H53" s="47" t="n">
        <f aca="false">(Inputs!$F$37*Inputs!$C$19+H$46*Inputs!$F$34/Inputs!$F$35*Inputs!$F$38*Inputs!$C$19+(H$46/$C$10)/Inputs!$F$32*Inputs!$C$24*Inputs!$C$19)/(H$46*$C$6*$C$7*12*$B53*$C$9*Inputs!$C$20/12)</f>
        <v>12.3832598178308</v>
      </c>
    </row>
    <row r="55" customFormat="false" ht="15" hidden="false" customHeight="false" outlineLevel="0" collapsed="false">
      <c r="B55" s="2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8" min="5" style="0" width="14"/>
    <col collapsed="false" customWidth="true" hidden="false" outlineLevel="0" max="10" min="9" style="0" width="15"/>
    <col collapsed="false" customWidth="true" hidden="false" outlineLevel="0" max="12" min="11" style="0" width="12"/>
  </cols>
  <sheetData>
    <row r="1" customFormat="false" ht="17.35" hidden="false" customHeight="false" outlineLevel="0" collapsed="false">
      <c r="A1" s="1" t="s">
        <v>507</v>
      </c>
    </row>
    <row r="2" customFormat="false" ht="15" hidden="false" customHeight="false" outlineLevel="0" collapsed="false">
      <c r="A2" s="2" t="s">
        <v>508</v>
      </c>
    </row>
    <row r="4" customFormat="false" ht="15" hidden="false" customHeight="false" outlineLevel="0" collapsed="false">
      <c r="B4" s="3" t="s">
        <v>509</v>
      </c>
    </row>
    <row r="5" customFormat="false" ht="15" hidden="false" customHeight="false" outlineLevel="0" collapsed="false">
      <c r="B5" s="6" t="s">
        <v>459</v>
      </c>
      <c r="C5" s="49" t="n">
        <f aca="false">Scenario_Engine!$L$36</f>
        <v>11.1822595704949</v>
      </c>
    </row>
    <row r="6" customFormat="false" ht="15" hidden="false" customHeight="false" outlineLevel="0" collapsed="false">
      <c r="B6" s="6" t="s">
        <v>460</v>
      </c>
      <c r="C6" s="49" t="n">
        <f aca="false">Scenario_Engine!$L$38</f>
        <v>25.4326885606632</v>
      </c>
    </row>
    <row r="7" customFormat="false" ht="15" hidden="false" customHeight="false" outlineLevel="0" collapsed="false">
      <c r="B7" s="6" t="s">
        <v>461</v>
      </c>
      <c r="C7" s="49" t="n">
        <f aca="false">Scenario_Engine!$L$42</f>
        <v>9.23289900752138</v>
      </c>
    </row>
    <row r="8" customFormat="false" ht="15" hidden="false" customHeight="false" outlineLevel="0" collapsed="false">
      <c r="B8" s="6" t="s">
        <v>361</v>
      </c>
      <c r="C8" s="30" t="n">
        <f aca="false">Scenario_Engine!$L$54</f>
        <v>1258004.20168067</v>
      </c>
    </row>
    <row r="9" customFormat="false" ht="15" hidden="false" customHeight="false" outlineLevel="0" collapsed="false">
      <c r="B9" s="6" t="s">
        <v>362</v>
      </c>
      <c r="C9" s="30" t="n">
        <f aca="false">Scenario_Engine!$L$55</f>
        <v>7205266.08361327</v>
      </c>
    </row>
    <row r="10" customFormat="false" ht="15" hidden="false" customHeight="false" outlineLevel="0" collapsed="false">
      <c r="B10" s="6" t="s">
        <v>363</v>
      </c>
      <c r="C10" s="30" t="n">
        <f aca="false">Scenario_Engine!$L$56</f>
        <v>2596577.16594495</v>
      </c>
    </row>
    <row r="11" customFormat="false" ht="15" hidden="false" customHeight="false" outlineLevel="0" collapsed="false">
      <c r="B11" s="6" t="s">
        <v>510</v>
      </c>
      <c r="C11" s="30" t="n">
        <f aca="false">Scenario_Engine!$L$28</f>
        <v>12849837.7059127</v>
      </c>
    </row>
    <row r="12" customFormat="false" ht="15" hidden="false" customHeight="false" outlineLevel="0" collapsed="false">
      <c r="B12" s="6" t="s">
        <v>511</v>
      </c>
      <c r="C12" s="30" t="n">
        <f aca="false">Scenario_Engine!$L$29</f>
        <v>12313108</v>
      </c>
    </row>
    <row r="13" customFormat="false" ht="15" hidden="false" customHeight="false" outlineLevel="0" collapsed="false">
      <c r="B13" s="6" t="s">
        <v>512</v>
      </c>
      <c r="C13" s="30" t="n">
        <f aca="false">Scenario_Engine!$L$30</f>
        <v>429250.641752663</v>
      </c>
    </row>
    <row r="14" customFormat="false" ht="15" hidden="false" customHeight="false" outlineLevel="0" collapsed="false">
      <c r="B14" s="6" t="s">
        <v>513</v>
      </c>
      <c r="C14" s="30" t="n">
        <f aca="false">Scenario_Engine!$L$31</f>
        <v>107479.06416</v>
      </c>
    </row>
    <row r="15" customFormat="false" ht="15" hidden="false" customHeight="false" outlineLevel="0" collapsed="false">
      <c r="B15" s="6" t="s">
        <v>514</v>
      </c>
      <c r="C15" s="49" t="n">
        <f aca="false">Scenario_Engine!$L$62</f>
        <v>24.6732026143791</v>
      </c>
    </row>
    <row r="16" customFormat="false" ht="15" hidden="false" customHeight="false" outlineLevel="0" collapsed="false">
      <c r="B16" s="6" t="s">
        <v>515</v>
      </c>
      <c r="C16" s="49" t="n">
        <f aca="false">Scenario_Engine!$L$63</f>
        <v>8.29346405228758</v>
      </c>
    </row>
    <row r="17" customFormat="false" ht="15" hidden="false" customHeight="false" outlineLevel="0" collapsed="false">
      <c r="B17" s="6" t="s">
        <v>462</v>
      </c>
      <c r="C17" s="29" t="n">
        <f aca="false">C5+C6+C7</f>
        <v>45.8478471386794</v>
      </c>
    </row>
    <row r="18" customFormat="false" ht="15" hidden="false" customHeight="false" outlineLevel="0" collapsed="false">
      <c r="B18" s="6" t="s">
        <v>516</v>
      </c>
      <c r="C18" s="23" t="n">
        <f aca="false">C8+C9+C10</f>
        <v>11059847.4512389</v>
      </c>
    </row>
    <row r="19" customFormat="false" ht="15" hidden="false" customHeight="false" outlineLevel="0" collapsed="false">
      <c r="B19" s="6" t="s">
        <v>517</v>
      </c>
      <c r="C19" s="31" t="n">
        <f aca="false">Inputs!$D$53</f>
        <v>0.5</v>
      </c>
    </row>
    <row r="20" customFormat="false" ht="15" hidden="false" customHeight="false" outlineLevel="0" collapsed="false">
      <c r="B20" s="6" t="s">
        <v>518</v>
      </c>
      <c r="C20" s="31" t="n">
        <f aca="false">Inputs!$D$54</f>
        <v>0.03</v>
      </c>
    </row>
    <row r="22" customFormat="false" ht="30" hidden="false" customHeight="true" outlineLevel="0" collapsed="false">
      <c r="B22" s="18" t="s">
        <v>519</v>
      </c>
      <c r="C22" s="18" t="s">
        <v>280</v>
      </c>
      <c r="D22" s="18" t="s">
        <v>520</v>
      </c>
      <c r="E22" s="18" t="s">
        <v>521</v>
      </c>
      <c r="F22" s="18" t="s">
        <v>522</v>
      </c>
      <c r="G22" s="18" t="s">
        <v>523</v>
      </c>
      <c r="H22" s="18" t="s">
        <v>524</v>
      </c>
      <c r="I22" s="18" t="s">
        <v>525</v>
      </c>
      <c r="J22" s="18" t="s">
        <v>526</v>
      </c>
      <c r="K22" s="18" t="s">
        <v>527</v>
      </c>
      <c r="L22" s="18" t="s">
        <v>528</v>
      </c>
    </row>
    <row r="23" customFormat="false" ht="15" hidden="false" customHeight="false" outlineLevel="0" collapsed="false">
      <c r="B23" s="6" t="s">
        <v>529</v>
      </c>
      <c r="C23" s="59" t="n">
        <v>0.8</v>
      </c>
      <c r="D23" s="59" t="n">
        <v>1.2</v>
      </c>
      <c r="E23" s="25" t="n">
        <f aca="false">($C$5*(1/$C23)+($C$6+0)*1+($C$7+0)*1)</f>
        <v>48.6434120313032</v>
      </c>
      <c r="F23" s="25" t="n">
        <f aca="false">($C$5*(1/$D23)+($C$6+0)*1+($C$7+0)*1)</f>
        <v>43.9841372102636</v>
      </c>
      <c r="G23" s="23" t="n">
        <f aca="false">(($C$8*(1/$C23)+$C$9*1*1*(1+(0)/$C$6)+$C$10*1*(1+(0)/$C$7))*1)</f>
        <v>11374348.5016591</v>
      </c>
      <c r="H23" s="23" t="n">
        <f aca="false">(($C$8*(1/$D23)+$C$9*1*1*(1+(0)/$C$6)+$C$10*1*(1+(0)/$C$7))*1)</f>
        <v>10850180.0842921</v>
      </c>
      <c r="I23" s="23" t="n">
        <f aca="false">($C$11+0)</f>
        <v>12849837.7059127</v>
      </c>
      <c r="J23" s="23" t="n">
        <f aca="false">($C$11+0)</f>
        <v>12849837.7059127</v>
      </c>
      <c r="K23" s="47" t="n">
        <f aca="false">G23/(I23*Inputs!$C$20/12)</f>
        <v>13.2776173076785</v>
      </c>
      <c r="L23" s="47" t="n">
        <f aca="false">H23/(J23*Inputs!$C$20/12)</f>
        <v>12.6657398318341</v>
      </c>
    </row>
    <row r="24" customFormat="false" ht="15" hidden="false" customHeight="false" outlineLevel="0" collapsed="false">
      <c r="B24" s="6" t="s">
        <v>530</v>
      </c>
      <c r="C24" s="59" t="n">
        <v>0.8</v>
      </c>
      <c r="D24" s="59" t="n">
        <v>1.2</v>
      </c>
      <c r="E24" s="25" t="n">
        <f aca="false">($C$5*1+($C$6+0)*(1/$C24)+($C$7+0)*1)</f>
        <v>52.2060192788452</v>
      </c>
      <c r="F24" s="25" t="n">
        <f aca="false">($C$5*1+($C$6+0)*(1/$D24)+($C$7+0)*1)</f>
        <v>41.6090657119023</v>
      </c>
      <c r="G24" s="23" t="n">
        <f aca="false">(($C$8*1+$C$9*(1/$C24)*1*(1+(0)/$C$6)+$C$10*1*(1+(0)/$C$7))*1)</f>
        <v>12861163.9721422</v>
      </c>
      <c r="H24" s="23" t="n">
        <f aca="false">(($C$8*1+$C$9*(1/$D24)*1*(1+(0)/$C$6)+$C$10*1*(1+(0)/$C$7))*1)</f>
        <v>9858969.77063668</v>
      </c>
      <c r="I24" s="23" t="n">
        <f aca="false">($C$11+0)</f>
        <v>12849837.7059127</v>
      </c>
      <c r="J24" s="23" t="n">
        <f aca="false">($C$11+0)</f>
        <v>12849837.7059127</v>
      </c>
      <c r="K24" s="47" t="n">
        <f aca="false">G24/(I24*Inputs!$C$20/12)</f>
        <v>15.0132214894329</v>
      </c>
      <c r="L24" s="47" t="n">
        <f aca="false">H24/(J24*Inputs!$C$20/12)</f>
        <v>11.5086703773312</v>
      </c>
    </row>
    <row r="25" customFormat="false" ht="15" hidden="false" customHeight="false" outlineLevel="0" collapsed="false">
      <c r="B25" s="6" t="s">
        <v>531</v>
      </c>
      <c r="C25" s="59" t="n">
        <v>0.8</v>
      </c>
      <c r="D25" s="59" t="n">
        <v>1.2</v>
      </c>
      <c r="E25" s="25" t="n">
        <f aca="false">($C$5*1+($C$6+0)*1+($C$7+0)*(1/$C25))</f>
        <v>48.1560718905598</v>
      </c>
      <c r="F25" s="25" t="n">
        <f aca="false">($C$5*1+($C$6+0)*1+($C$7+0)*(1/$D25))</f>
        <v>44.3090306374259</v>
      </c>
      <c r="G25" s="23" t="n">
        <f aca="false">(($C$8*1+$C$9*1*1*(1+(0)/$C$6)+$C$10*(1/$C25)*(1+(0)/$C$7))*1)</f>
        <v>11708991.7427251</v>
      </c>
      <c r="H25" s="23" t="n">
        <f aca="false">(($C$8*1+$C$9*1*1*(1+(0)/$C$6)+$C$10*(1/$D25)*(1+(0)/$C$7))*1)</f>
        <v>10627084.5902481</v>
      </c>
      <c r="I25" s="23" t="n">
        <f aca="false">($C$11+0)</f>
        <v>12849837.7059127</v>
      </c>
      <c r="J25" s="23" t="n">
        <f aca="false">($C$11+0)</f>
        <v>12849837.7059127</v>
      </c>
      <c r="K25" s="47" t="n">
        <f aca="false">G25/(I25*Inputs!$C$20/12)</f>
        <v>13.6682563749471</v>
      </c>
      <c r="L25" s="47" t="n">
        <f aca="false">H25/(J25*Inputs!$C$20/12)</f>
        <v>12.4053137869883</v>
      </c>
    </row>
    <row r="26" customFormat="false" ht="15" hidden="false" customHeight="false" outlineLevel="0" collapsed="false">
      <c r="B26" s="6" t="s">
        <v>470</v>
      </c>
      <c r="C26" s="15" t="n">
        <v>0.75</v>
      </c>
      <c r="D26" s="15" t="n">
        <v>0.95</v>
      </c>
      <c r="E26" s="25" t="n">
        <f aca="false">($C$5*(Inputs!$C$16/$C26)+($C$6+0)*(Inputs!$C$16/$C26)+($C$7+0)*(Inputs!$C$16/$C26))</f>
        <v>51.9608934238367</v>
      </c>
      <c r="F26" s="25" t="n">
        <f aca="false">($C$5*(Inputs!$C$16/$D26)+($C$6+0)*(Inputs!$C$16/$D26)+($C$7+0)*(Inputs!$C$16/$D26))</f>
        <v>41.0217579661869</v>
      </c>
      <c r="G26" s="23" t="n">
        <f aca="false">(($C$8*(Inputs!$C$16/$C26)+$C$9*(Inputs!$C$16/$C26)*1*(1+(0)/$C$6)+$C$10*(Inputs!$C$16/$C26)*(1+(0)/$C$7))*1)</f>
        <v>12534493.7780707</v>
      </c>
      <c r="H26" s="23" t="n">
        <f aca="false">(($C$8*(Inputs!$C$16/$D26)+$C$9*(Inputs!$C$16/$D26)*1*(1+(0)/$C$6)+$C$10*(Inputs!$C$16/$D26)*(1+(0)/$C$7))*1)</f>
        <v>9895652.98268743</v>
      </c>
      <c r="I26" s="23" t="n">
        <f aca="false">($C$11+0)</f>
        <v>12849837.7059127</v>
      </c>
      <c r="J26" s="23" t="n">
        <f aca="false">($C$11+0)</f>
        <v>12849837.7059127</v>
      </c>
      <c r="K26" s="47" t="n">
        <f aca="false">G26/(I26*Inputs!$C$20/12)</f>
        <v>14.6318895984614</v>
      </c>
      <c r="L26" s="47" t="n">
        <f aca="false">H26/(J26*Inputs!$C$20/12)</f>
        <v>11.551491788259</v>
      </c>
    </row>
    <row r="27" customFormat="false" ht="15" hidden="false" customHeight="false" outlineLevel="0" collapsed="false">
      <c r="B27" s="6" t="s">
        <v>532</v>
      </c>
      <c r="C27" s="16" t="n">
        <v>1.15</v>
      </c>
      <c r="D27" s="16" t="n">
        <v>1.35</v>
      </c>
      <c r="E27" s="25" t="n">
        <f aca="false">($C$5*1+($C$6+0)*1+($C$7+0)*1)</f>
        <v>45.8478471386794</v>
      </c>
      <c r="F27" s="25" t="n">
        <f aca="false">($C$5*1+($C$6+0)*1+($C$7+0)*1)</f>
        <v>45.8478471386794</v>
      </c>
      <c r="G27" s="23" t="n">
        <f aca="false">(($C$8*1+$C$9*1*1*(1+(0)/$C$6)+$C$10*1*(1+(0)/$C$7))*($C27/Inputs!$C$19))</f>
        <v>10175059.6551398</v>
      </c>
      <c r="H27" s="23" t="n">
        <f aca="false">(($C$8*1+$C$9*1*1*(1+(0)/$C$6)+$C$10*1*(1+(0)/$C$7))*($D27/Inputs!$C$19))</f>
        <v>11944635.247338</v>
      </c>
      <c r="I27" s="23" t="n">
        <f aca="false">($C$11+0)</f>
        <v>12849837.7059127</v>
      </c>
      <c r="J27" s="23" t="n">
        <f aca="false">($C$11+0)</f>
        <v>12849837.7059127</v>
      </c>
      <c r="K27" s="47" t="n">
        <f aca="false">G27/(I27*Inputs!$C$20/12)</f>
        <v>11.8776515563981</v>
      </c>
      <c r="L27" s="47" t="n">
        <f aca="false">H27/(J27*Inputs!$C$20/12)</f>
        <v>13.9433300879456</v>
      </c>
    </row>
    <row r="28" customFormat="false" ht="15" hidden="false" customHeight="false" outlineLevel="0" collapsed="false">
      <c r="B28" s="6" t="s">
        <v>533</v>
      </c>
      <c r="C28" s="59" t="n">
        <v>0.85</v>
      </c>
      <c r="D28" s="59" t="n">
        <v>1.15</v>
      </c>
      <c r="E28" s="25" t="n">
        <f aca="false">($C$5*1+($C$6+0)*1+($C$7+0)*1)</f>
        <v>45.8478471386794</v>
      </c>
      <c r="F28" s="25" t="n">
        <f aca="false">($C$5*1+($C$6+0)*1+($C$7+0)*1)</f>
        <v>45.8478471386794</v>
      </c>
      <c r="G28" s="23" t="n">
        <f aca="false">(($C$8*1+$C$9*1*$C28*(1+(0)/$C$6)+$C$10*1*(1+(0)/$C$7))*1)</f>
        <v>9979057.5386969</v>
      </c>
      <c r="H28" s="23" t="n">
        <f aca="false">(($C$8*1+$C$9*1*$D28*(1+(0)/$C$6)+$C$10*1*(1+(0)/$C$7))*1)</f>
        <v>12140637.3637809</v>
      </c>
      <c r="I28" s="23" t="n">
        <f aca="false">($C$11+0)</f>
        <v>12849837.7059127</v>
      </c>
      <c r="J28" s="23" t="n">
        <f aca="false">($C$11+0)</f>
        <v>12849837.7059127</v>
      </c>
      <c r="K28" s="47" t="n">
        <f aca="false">G28/(I28*Inputs!$C$20/12)</f>
        <v>11.6488524218152</v>
      </c>
      <c r="L28" s="47" t="n">
        <f aca="false">H28/(J28*Inputs!$C$20/12)</f>
        <v>14.1721292225285</v>
      </c>
    </row>
    <row r="29" customFormat="false" ht="15" hidden="false" customHeight="false" outlineLevel="0" collapsed="false">
      <c r="B29" s="6" t="s">
        <v>534</v>
      </c>
      <c r="C29" s="15" t="n">
        <v>0</v>
      </c>
      <c r="D29" s="15" t="n">
        <v>1</v>
      </c>
      <c r="E29" s="25" t="n">
        <f aca="false">($C$5*1+($C$6+($C$6-$C$15)*($C29/$C$19-1))*1+($C$7+0)*1)</f>
        <v>45.0883611923953</v>
      </c>
      <c r="F29" s="25" t="n">
        <f aca="false">($C$5*1+($C$6+($C$6-$C$15)*($D29/$C$19-1))*1+($C$7+0)*1)</f>
        <v>46.6073330849636</v>
      </c>
      <c r="G29" s="23" t="n">
        <f aca="false">(($C$8*1+$C$9*1*1*(1+(($C$6-$C$15)*($C29/$C$19-1))/$C$6)+$C$10*1*(1+(0)/$C$7))*1)</f>
        <v>10844679.5457031</v>
      </c>
      <c r="H29" s="23" t="n">
        <f aca="false">(($C$8*1+$C$9*1*1*(1+(($C$6-$C$15)*($D29/$C$19-1))/$C$6)+$C$10*1*(1+(0)/$C$7))*1)</f>
        <v>11275015.3567747</v>
      </c>
      <c r="I29" s="23" t="n">
        <f aca="false">($C$11+$C$13*($C29/$C$19-1))</f>
        <v>12420587.06416</v>
      </c>
      <c r="J29" s="23" t="n">
        <f aca="false">($C$11+$C$13*($D29/$C$19-1))</f>
        <v>13279088.3476653</v>
      </c>
      <c r="K29" s="47" t="n">
        <f aca="false">G29/(I29*Inputs!$C$20/12)</f>
        <v>13.0968200090104</v>
      </c>
      <c r="L29" s="47" t="n">
        <f aca="false">H29/(J29*Inputs!$C$20/12)</f>
        <v>12.7362079326293</v>
      </c>
    </row>
    <row r="30" customFormat="false" ht="15" hidden="false" customHeight="false" outlineLevel="0" collapsed="false">
      <c r="B30" s="6" t="s">
        <v>535</v>
      </c>
      <c r="C30" s="15" t="n">
        <v>0</v>
      </c>
      <c r="D30" s="15" t="n">
        <v>0.06</v>
      </c>
      <c r="E30" s="25" t="n">
        <f aca="false">($C$5*1+($C$6+0)*1+($C$7+0)*1)</f>
        <v>45.8478471386794</v>
      </c>
      <c r="F30" s="25" t="n">
        <f aca="false">($C$5*1+($C$6+0)*1+($C$7+0)*1)</f>
        <v>45.8478471386794</v>
      </c>
      <c r="G30" s="23" t="n">
        <f aca="false">(($C$8*1+$C$9*1*1*(1+(0)/$C$6)+$C$10*1*(1+(0)/$C$7))*1)</f>
        <v>11059847.4512389</v>
      </c>
      <c r="H30" s="23" t="n">
        <f aca="false">(($C$8*1+$C$9*1*1*(1+(0)/$C$6)+$C$10*1*(1+(0)/$C$7))*1)</f>
        <v>11059847.4512389</v>
      </c>
      <c r="I30" s="23" t="n">
        <f aca="false">($C$11+$C$14*($C30/$C$20-1))</f>
        <v>12742358.6417527</v>
      </c>
      <c r="J30" s="23" t="n">
        <f aca="false">($C$11+$C$14*($D30/$C$20-1))</f>
        <v>12957316.7700727</v>
      </c>
      <c r="K30" s="47" t="n">
        <f aca="false">G30/(I30*Inputs!$C$20/12)</f>
        <v>13.0193880452391</v>
      </c>
      <c r="L30" s="47" t="n">
        <f aca="false">H30/(J30*Inputs!$C$20/12)</f>
        <v>12.8034001724612</v>
      </c>
    </row>
    <row r="31" customFormat="false" ht="15" hidden="false" customHeight="false" outlineLevel="0" collapsed="false">
      <c r="B31" s="6" t="s">
        <v>536</v>
      </c>
      <c r="C31" s="59" t="n">
        <v>0.85</v>
      </c>
      <c r="D31" s="59" t="n">
        <v>1.15</v>
      </c>
      <c r="E31" s="25" t="n">
        <f aca="false">($C$5*$C31+($C$6+0)*$C31+($C$7+0)*$C31)</f>
        <v>38.9706700678775</v>
      </c>
      <c r="F31" s="25" t="n">
        <f aca="false">($C$5*$D31+($C$6+0)*$D31+($C$7+0)*$D31)</f>
        <v>52.7250242094814</v>
      </c>
      <c r="G31" s="23" t="n">
        <f aca="false">(($C$8*$C31+$C$9*$C31*1*(1+(0)/$C$6)+$C$10*$C31*(1+(0)/$C$7))*1)</f>
        <v>9400870.33355306</v>
      </c>
      <c r="H31" s="23" t="n">
        <f aca="false">(($C$8*$D31+$C$9*$D31*1*(1+(0)/$C$6)+$C$10*$D31*(1+(0)/$C$7))*1)</f>
        <v>12718824.5689247</v>
      </c>
      <c r="I31" s="23" t="n">
        <f aca="false">($C$11+$C$11*($C31-1))</f>
        <v>10922362.0500258</v>
      </c>
      <c r="J31" s="23" t="n">
        <f aca="false">($C$11+$C$11*($D31-1))</f>
        <v>14777313.3617996</v>
      </c>
      <c r="K31" s="47" t="n">
        <f aca="false">G31/(I31*Inputs!$C$20/12)</f>
        <v>12.9104908221719</v>
      </c>
      <c r="L31" s="47" t="n">
        <f aca="false">H31/(J31*Inputs!$C$20/12)</f>
        <v>12.9104908221719</v>
      </c>
    </row>
    <row r="33" customFormat="false" ht="15" hidden="false" customHeight="false" outlineLevel="0" collapsed="false">
      <c r="B33" s="2" t="s">
        <v>537</v>
      </c>
    </row>
    <row r="34" customFormat="false" ht="15" hidden="false" customHeight="false" outlineLevel="0" collapsed="false">
      <c r="B34" s="2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70"/>
    <col collapsed="false" customWidth="true" hidden="false" outlineLevel="0" max="4" min="3" style="0" width="18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539</v>
      </c>
    </row>
    <row r="2" customFormat="false" ht="15" hidden="false" customHeight="false" outlineLevel="0" collapsed="false">
      <c r="A2" s="2" t="s">
        <v>540</v>
      </c>
    </row>
    <row r="4" customFormat="false" ht="30" hidden="false" customHeight="true" outlineLevel="0" collapsed="false">
      <c r="B4" s="18" t="s">
        <v>236</v>
      </c>
      <c r="C4" s="18" t="s">
        <v>541</v>
      </c>
      <c r="D4" s="18" t="s">
        <v>542</v>
      </c>
      <c r="E4" s="18" t="s">
        <v>543</v>
      </c>
    </row>
    <row r="5" customFormat="false" ht="15" hidden="false" customHeight="false" outlineLevel="0" collapsed="false">
      <c r="B5" s="6" t="s">
        <v>544</v>
      </c>
      <c r="C5" s="49" t="n">
        <f aca="false">COUNTA(Data!$B$2:$B$61)</f>
        <v>60</v>
      </c>
      <c r="D5" s="29" t="n">
        <f aca="false">60</f>
        <v>60</v>
      </c>
      <c r="E5" s="60" t="b">
        <f aca="false">ABS(C5-D5)&lt;0.01</f>
        <v>1</v>
      </c>
    </row>
    <row r="6" customFormat="false" ht="15" hidden="false" customHeight="false" outlineLevel="0" collapsed="false">
      <c r="B6" s="6" t="s">
        <v>545</v>
      </c>
      <c r="C6" s="49" t="n">
        <f aca="false">Analysis!B11</f>
        <v>17152</v>
      </c>
      <c r="D6" s="29" t="n">
        <f aca="false">SUM(Data!$C$2:$C$61)</f>
        <v>17152</v>
      </c>
      <c r="E6" s="60" t="b">
        <f aca="false">ABS(C6-D6)&lt;0.01</f>
        <v>1</v>
      </c>
    </row>
    <row r="7" customFormat="false" ht="15" hidden="false" customHeight="false" outlineLevel="0" collapsed="false">
      <c r="B7" s="6" t="s">
        <v>546</v>
      </c>
      <c r="C7" s="49" t="n">
        <f aca="false">Analysis!F11</f>
        <v>10046367</v>
      </c>
      <c r="D7" s="29" t="n">
        <f aca="false">SUM(Data!$G$2:$G$61)</f>
        <v>10046367</v>
      </c>
      <c r="E7" s="60" t="b">
        <f aca="false">ABS(C7-D7)&lt;0.01</f>
        <v>1</v>
      </c>
    </row>
    <row r="8" customFormat="false" ht="15" hidden="false" customHeight="false" outlineLevel="0" collapsed="false">
      <c r="B8" s="6" t="s">
        <v>547</v>
      </c>
      <c r="C8" s="49" t="n">
        <f aca="false">Analysis!F27</f>
        <v>10046367</v>
      </c>
      <c r="D8" s="29" t="n">
        <f aca="false">Analysis!F11</f>
        <v>10046367</v>
      </c>
      <c r="E8" s="60" t="b">
        <f aca="false">ABS(C8-D8)&lt;0.01</f>
        <v>1</v>
      </c>
    </row>
    <row r="9" customFormat="false" ht="15" hidden="false" customHeight="false" outlineLevel="0" collapsed="false">
      <c r="B9" s="6" t="s">
        <v>548</v>
      </c>
      <c r="C9" s="49" t="n">
        <f aca="false">SUM(Segmentation!D15:D18)</f>
        <v>10046367</v>
      </c>
      <c r="D9" s="29" t="n">
        <f aca="false">Analysis!F11</f>
        <v>10046367</v>
      </c>
      <c r="E9" s="60" t="b">
        <f aca="false">ABS(C9-D9)&lt;0.01</f>
        <v>1</v>
      </c>
    </row>
    <row r="10" customFormat="false" ht="15" hidden="false" customHeight="false" outlineLevel="0" collapsed="false">
      <c r="B10" s="6" t="s">
        <v>549</v>
      </c>
      <c r="C10" s="49" t="n">
        <f aca="false">SUM(Segmentation!D28:D30)</f>
        <v>10046367</v>
      </c>
      <c r="D10" s="29" t="n">
        <f aca="false">Analysis!F11</f>
        <v>10046367</v>
      </c>
      <c r="E10" s="60" t="b">
        <f aca="false">ABS(C10-D10)&lt;0.01</f>
        <v>1</v>
      </c>
    </row>
    <row r="11" customFormat="false" ht="15" hidden="false" customHeight="false" outlineLevel="0" collapsed="false">
      <c r="B11" s="6" t="s">
        <v>550</v>
      </c>
      <c r="C11" s="49" t="n">
        <f aca="false">Demand!G13</f>
        <v>1026092.33333333</v>
      </c>
      <c r="D11" s="29" t="n">
        <f aca="false">SUMIFS(Data!$G$2:$G$61,Data!$L$2:$L$61,1)/Demand!C8</f>
        <v>1026092.33333333</v>
      </c>
      <c r="E11" s="60" t="b">
        <f aca="false">ABS(C11-D11)&lt;0.01</f>
        <v>1</v>
      </c>
    </row>
    <row r="12" customFormat="false" ht="15" hidden="false" customHeight="false" outlineLevel="0" collapsed="false">
      <c r="B12" s="6" t="s">
        <v>551</v>
      </c>
      <c r="C12" s="49" t="n">
        <f aca="false">Demand!G24</f>
        <v>1284036</v>
      </c>
      <c r="D12" s="29" t="n">
        <f aca="false">Analysis!F26</f>
        <v>1284036</v>
      </c>
      <c r="E12" s="60" t="b">
        <f aca="false">ABS(C12-D12)&lt;0.01</f>
        <v>1</v>
      </c>
    </row>
    <row r="13" customFormat="false" ht="15" hidden="false" customHeight="false" outlineLevel="0" collapsed="false">
      <c r="B13" s="6" t="s">
        <v>552</v>
      </c>
      <c r="C13" s="49" t="n">
        <f aca="false">Scenario_Engine!$L$29</f>
        <v>12313108</v>
      </c>
      <c r="D13" s="29" t="n">
        <f aca="false">Demand!G13*12</f>
        <v>12313108</v>
      </c>
      <c r="E13" s="60" t="b">
        <f aca="false">ABS(C13-D13)&lt;0.01</f>
        <v>1</v>
      </c>
    </row>
    <row r="14" customFormat="false" ht="15" hidden="false" customHeight="false" outlineLevel="0" collapsed="false">
      <c r="B14" s="6" t="s">
        <v>553</v>
      </c>
      <c r="C14" s="49" t="n">
        <f aca="false">Scenario_Engine!$V$29</f>
        <v>15408432</v>
      </c>
      <c r="D14" s="29" t="n">
        <f aca="false">Analysis!F26*12</f>
        <v>15408432</v>
      </c>
      <c r="E14" s="60" t="b">
        <f aca="false">ABS(C14-D14)&lt;0.01</f>
        <v>1</v>
      </c>
    </row>
    <row r="15" customFormat="false" ht="15" hidden="false" customHeight="false" outlineLevel="0" collapsed="false">
      <c r="B15" s="6" t="s">
        <v>554</v>
      </c>
      <c r="C15" s="49" t="n">
        <f aca="false">SUM(Scenario_Engine!C32:V32)</f>
        <v>0</v>
      </c>
      <c r="D15" s="29" t="n">
        <f aca="false">0</f>
        <v>0</v>
      </c>
      <c r="E15" s="60" t="b">
        <f aca="false">ABS(C15-D15)&lt;0.01</f>
        <v>1</v>
      </c>
    </row>
    <row r="16" customFormat="false" ht="15" hidden="false" customHeight="false" outlineLevel="0" collapsed="false">
      <c r="B16" s="6" t="s">
        <v>555</v>
      </c>
      <c r="C16" s="49" t="n">
        <f aca="false">Scenario_Engine!L8*Scenario_Engine!L9</f>
        <v>482.666666666667</v>
      </c>
      <c r="D16" s="29" t="n">
        <f aca="false">Demand!G10</f>
        <v>482.666666666667</v>
      </c>
      <c r="E16" s="60" t="b">
        <f aca="false">ABS(C16-D16)&lt;0.01</f>
        <v>1</v>
      </c>
    </row>
    <row r="17" customFormat="false" ht="15" hidden="false" customHeight="false" outlineLevel="0" collapsed="false">
      <c r="B17" s="6" t="s">
        <v>556</v>
      </c>
      <c r="C17" s="49" t="n">
        <f aca="false">Staffing!E22</f>
        <v>11</v>
      </c>
      <c r="D17" s="29" t="n">
        <f aca="false">Staffing!D22-3*Inputs!$C$22</f>
        <v>10.2822595704949</v>
      </c>
      <c r="E17" s="60" t="b">
        <f aca="false">C17&gt;=D17</f>
        <v>1</v>
      </c>
    </row>
    <row r="18" customFormat="false" ht="15" hidden="false" customHeight="false" outlineLevel="0" collapsed="false">
      <c r="B18" s="6" t="s">
        <v>557</v>
      </c>
      <c r="C18" s="49" t="n">
        <f aca="false">Staffing!G32</f>
        <v>46</v>
      </c>
      <c r="D18" s="29" t="n">
        <f aca="false">Staffing!E25</f>
        <v>46</v>
      </c>
      <c r="E18" s="60" t="b">
        <f aca="false">ABS(C18-D18)&lt;0.01</f>
        <v>1</v>
      </c>
    </row>
    <row r="19" customFormat="false" ht="15" hidden="false" customHeight="false" outlineLevel="0" collapsed="false">
      <c r="B19" s="6" t="s">
        <v>558</v>
      </c>
      <c r="C19" s="49" t="n">
        <f aca="false">Staffing!G42</f>
        <v>12849837.7059127</v>
      </c>
      <c r="D19" s="29" t="n">
        <f aca="false">Scenario_Engine!$L$28</f>
        <v>12849837.7059127</v>
      </c>
      <c r="E19" s="60" t="b">
        <f aca="false">ABS(C19-D19)&lt;0.01</f>
        <v>1</v>
      </c>
    </row>
    <row r="20" customFormat="false" ht="15" hidden="false" customHeight="false" outlineLevel="0" collapsed="false">
      <c r="B20" s="6" t="s">
        <v>559</v>
      </c>
      <c r="C20" s="49" t="n">
        <f aca="false">Analysis!L147</f>
        <v>0</v>
      </c>
      <c r="D20" s="29" t="n">
        <f aca="false">0</f>
        <v>0</v>
      </c>
      <c r="E20" s="60" t="b">
        <f aca="false">ABS(C20-D20)&lt;0.01</f>
        <v>1</v>
      </c>
    </row>
    <row r="21" customFormat="false" ht="15" hidden="false" customHeight="false" outlineLevel="0" collapsed="false">
      <c r="B21" s="6" t="s">
        <v>560</v>
      </c>
      <c r="C21" s="49" t="n">
        <f aca="false">SUMPRODUCT((Data!$D$2:$D$61&gt;Data!$C$2:$C$61)+(Data!$E$2:$E$61&gt;Data!$D$2:$D$61)+(Data!$F$2:$F$61&gt;Data!$E$2:$E$61))</f>
        <v>0</v>
      </c>
      <c r="D21" s="29" t="n">
        <f aca="false">0</f>
        <v>0</v>
      </c>
      <c r="E21" s="60" t="b">
        <f aca="false">ABS(C21-D21)&lt;0.01</f>
        <v>1</v>
      </c>
    </row>
    <row r="23" customFormat="false" ht="15" hidden="false" customHeight="false" outlineLevel="0" collapsed="false">
      <c r="B23" s="3" t="s">
        <v>561</v>
      </c>
      <c r="E23" s="61" t="b">
        <f aca="false">AND(E5:E21)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2026-10-14T02:45:17Z</dcterms:created>
  <dc:creator>openpyxl</dc:creator>
  <dc:description/>
  <dc:language>en-US</dc:language>
  <cp:lastModifiedBy/>
  <dcterms:modified xsi:type="dcterms:W3CDTF">2026-10-14T02:45:19Z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